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LB83807\The Vault\workspaces\FSE-Capstone\hybrid_bench\reports\"/>
    </mc:Choice>
  </mc:AlternateContent>
  <xr:revisionPtr revIDLastSave="0" documentId="13_ncr:1_{566BF33A-CC6C-4DCE-8842-33F0E0C6DB78}" xr6:coauthVersionLast="47" xr6:coauthVersionMax="47" xr10:uidLastSave="{00000000-0000-0000-0000-000000000000}"/>
  <bookViews>
    <workbookView xWindow="-110" yWindow="-110" windowWidth="25820" windowHeight="15500" activeTab="1" xr2:uid="{00000000-000D-0000-FFFF-FFFF00000000}"/>
  </bookViews>
  <sheets>
    <sheet name="Research Paper Overview" sheetId="1" r:id="rId1"/>
    <sheet name="Quantitative Benchmark" sheetId="2" r:id="rId2"/>
    <sheet name="TreeSHAP Telemetry Ranking" sheetId="3" r:id="rId3"/>
    <sheet name="Qualitative Warning Matrix" sheetId="4" r:id="rId4"/>
    <sheet name="Safety, Latency &amp; Math" sheetId="5" r:id="rId5"/>
    <sheet name="Operational Analytics &amp; KPIs" sheetId="6" r:id="rId6"/>
  </sheets>
  <calcPr calcId="0"/>
</workbook>
</file>

<file path=xl/sharedStrings.xml><?xml version="1.0" encoding="utf-8"?>
<sst xmlns="http://schemas.openxmlformats.org/spreadsheetml/2006/main" count="572" uniqueCount="495">
  <si>
    <t>TWO-STAGE TRANSFER RISK ENGINE: RESEARCH &amp; BENCHMARK PAPER</t>
  </si>
  <si>
    <t>A Dual-Engine Framework for Retail Banking: Stage 1 Quantitative Machine Learning &amp; Stage 2 Qualitative Behavioral Intervention</t>
  </si>
  <si>
    <t>1. EXECUTIVE ABSTRACT &amp; THE CORE PROBLEM IN RETAIL BANKING</t>
  </si>
  <si>
    <t>Modern retail banking fraud has shifted decisively from technical credential theft toward Authorized Push Payment (APP) scams and remote-access social engineering. In these scenarios, legitimate victims willingly authenticate transactions using their own credentials and biometrics while being coerced over a phone call or manipulated via remote-assistance tools (AnyDesk, TeamViewer).
Traditional fraud defenses face an irreconcilable trade-off: rigid quantitative blocking rules generate intolerable false positive friction for innocent users, while standalone text/memo NLP models collapse in production because over 90% of real transfers contain blank or generic notes.
This research paper evaluates a production two-stage architecture: Stage 1 runs high-speed quantitative XGBoost inference over 32 behavioral telemetry features (&lt;35 ms), followed by Stage 2 qualitative threat synthesis (NanoJev) that evaluates mobile device telemetry and triggers context-aware psychological interventions without causing disruptive hard blocks.</t>
  </si>
  <si>
    <t>2. METHODOLOGY: THE QUANTITATIVE VS. QUALITATIVE SPLIT</t>
  </si>
  <si>
    <t>Evaluation Layer</t>
  </si>
  <si>
    <t>Method Type</t>
  </si>
  <si>
    <t>Core Question Addressed</t>
  </si>
  <si>
    <t>Signals &amp; Mechanism</t>
  </si>
  <si>
    <t>Operational Output</t>
  </si>
  <si>
    <t>Banking Benefit</t>
  </si>
  <si>
    <t>Stage 1: XGBoost Engine</t>
  </si>
  <si>
    <t>Quantitative</t>
  </si>
  <si>
    <t>How statistically abnormal is this transfer?</t>
  </si>
  <si>
    <t>Evaluates 32 numerical telemetry features: balance drain ratio, 90-day amount spike, mobile OS patch age, travel velocity, and payee interaction history.</t>
  </si>
  <si>
    <t>Deterministic fraud score (0 to 100), statistical probability p_fraud, Gate 0 hard pass/block.</t>
  </si>
  <si>
    <t>Sub-35 ms execution, eliminates 95%+ of fraud, maintains 0.00% false blocks on routine transfers.</t>
  </si>
  <si>
    <t>Stage 2: Threat Synthesis &amp; Advisory Warnings</t>
  </si>
  <si>
    <t>Qualitative</t>
  </si>
  <si>
    <t>What psychological coercion or device compromise is active?</t>
  </si>
  <si>
    <t>Synthesizes mobile operating system state: active AnyDesk/TeamViewer accessibility, screen sharing, active voice call in progress, and clipboard paste mode.</t>
  </si>
  <si>
    <t>Tailored in-app advisory dialog, mandatory 3-second read delay, explicit acknowledgment checkbox, 10-minute cool-off hold.</t>
  </si>
  <si>
    <t>Breaks the psychological spell of scam callers without hard-blocking the customer; preserves self-service banking.</t>
  </si>
  <si>
    <t>Combined Hybrid Architecture (S4)</t>
  </si>
  <si>
    <t>Dual Synthesis</t>
  </si>
  <si>
    <t>How do we stop APP scams without angering innocent customers?</t>
  </si>
  <si>
    <t>Combines quantitative baseline triage with qualitative psychological friction strictly enforced via the Escalate-Only Invariant: RiskTier(final) &gt;= RiskTier(S1).</t>
  </si>
  <si>
    <t>ALLOW with Biometric | ADVISORY_WARNING with Friction | STEP_UP Biometric + MPIN | BLOCK.</t>
  </si>
  <si>
    <t>Cuts missed fraud in half (4.44% -&gt; 2.22%), eliminates fraud on novel scams (0.00%), and reduces operational costs by 37%.</t>
  </si>
  <si>
    <t>3. KEY PERFORMANCE METRICS &amp; ROI SCORECARD</t>
  </si>
  <si>
    <t>Metric Dimension</t>
  </si>
  <si>
    <t>Heuristic Rules (S1)</t>
  </si>
  <si>
    <t>XGBoost Baseline (S2)</t>
  </si>
  <si>
    <t>Hybrid S4 (Proposed)</t>
  </si>
  <si>
    <t>Observed Impact</t>
  </si>
  <si>
    <t>Business Impact</t>
  </si>
  <si>
    <t>Expected Cost / 1k Tx</t>
  </si>
  <si>
    <t>PHP 507,034.53</t>
  </si>
  <si>
    <t>PHP 89,696.37</t>
  </si>
  <si>
    <t>PHP 56,546.08</t>
  </si>
  <si>
    <t>-37.0% Cost Reduction</t>
  </si>
  <si>
    <t>Saves ~PHP 33,150 per 1,000 transactions vs XGBoost alone</t>
  </si>
  <si>
    <t>Missed Fraud Rate (C1)</t>
  </si>
  <si>
    <t>26.67%</t>
  </si>
  <si>
    <t>4.44%</t>
  </si>
  <si>
    <t>2.22%</t>
  </si>
  <si>
    <t>Cuts Missed Fraud in Half</t>
  </si>
  <si>
    <t>Halves residual fraud exposure on in-distribution retail traffic</t>
  </si>
  <si>
    <t>Missed Fraud Rate (C2)</t>
  </si>
  <si>
    <t>37.78%</t>
  </si>
  <si>
    <t>0.00%</t>
  </si>
  <si>
    <t>Zero Residual Fraud</t>
  </si>
  <si>
    <t>Catches 100% of held-out novel scam typologies and social engineering</t>
  </si>
  <si>
    <t>False Block Rate</t>
  </si>
  <si>
    <t>0.39%</t>
  </si>
  <si>
    <t>Zero False Blocks</t>
  </si>
  <si>
    <t>Innocent customers never experience disruptive account lockouts</t>
  </si>
  <si>
    <t>Prompt Injection Defense</t>
  </si>
  <si>
    <t>Not Applicable</t>
  </si>
  <si>
    <t>100% Immune (0/600)</t>
  </si>
  <si>
    <t>Zero Action Downgrades</t>
  </si>
  <si>
    <t>Escalate-Only invariant mathematically prevents adversarial jailbreaks</t>
  </si>
  <si>
    <t>Execution Latency</t>
  </si>
  <si>
    <t>&lt; 0.01 ms</t>
  </si>
  <si>
    <t>4.4 ms (Inference)</t>
  </si>
  <si>
    <t>31.1 ms (End-to-End)</t>
  </si>
  <si>
    <t>Meets Banking Budget</t>
  </si>
  <si>
    <t>Easily fits inside the 250 ms round-trip payment settlement window</t>
  </si>
  <si>
    <t>QUANTITATIVE BENCHMARK EVALUATION (SYSTEMS S1 TO S5)</t>
  </si>
  <si>
    <t>Empirical performance comparison across Test Set C1 (Standard In-Distribution) and Test Set C2 (Held-Out Novel Typologies)</t>
  </si>
  <si>
    <t>1. BENCHMARK SUMMARY: OPERATIONAL FRAUD COST &amp; MISSED FRAUD (TEST SET C1: 1,000 TX, 15% FRAUD)</t>
  </si>
  <si>
    <t>System ID</t>
  </si>
  <si>
    <t>Architecture Description</t>
  </si>
  <si>
    <t>PR-AUC</t>
  </si>
  <si>
    <t>ROC-AUC</t>
  </si>
  <si>
    <t>Macro-F1</t>
  </si>
  <si>
    <t>Missed Fraud Rate</t>
  </si>
  <si>
    <t>Expected Cost / 1k Tx (PHP)</t>
  </si>
  <si>
    <t>S1 (Rules)</t>
  </si>
  <si>
    <t>Tuned Heuristic Rules Baseline</t>
  </si>
  <si>
    <t>S2 (XGBoost)</t>
  </si>
  <si>
    <t>Gate 0 + Tabular XGBoost (Always, No Memo)</t>
  </si>
  <si>
    <t>S3 (XGB+TF-IDF)</t>
  </si>
  <si>
    <t>Gate 0 + XGBoost + OOF TF-IDF Baseline</t>
  </si>
  <si>
    <t>S4 (Hybrid S2+NanoJev)</t>
  </si>
  <si>
    <t>Gate 0 + XGBoost + NanoJev (Escalate-Only)</t>
  </si>
  <si>
    <t>S5 (NLP Only)</t>
  </si>
  <si>
    <t>Standalone NanoJev (Memo Text Only)</t>
  </si>
  <si>
    <t>2. NOVEL SCAM TYPOLOGIES: HELD-OUT TEST SET C2 (500 TX, 15% FRAUD, 100% UNSEEN PATTERNS)</t>
  </si>
  <si>
    <t>3. KEY EMPIRICAL FINDINGS &amp; TAKEAWAYS</t>
  </si>
  <si>
    <t>Cuts Missed Fraud in Half (4.44% -&gt; 2.22%)</t>
  </si>
  <si>
    <t>On standard in-distribution retail transfers (C1), S4 identifies edge-case social engineering transfers that slip past pure tabular features.</t>
  </si>
  <si>
    <t>Eliminates Missed Fraud on Novel Scams (0.00%)</t>
  </si>
  <si>
    <t>On completely held-out novel scam typologies (C2), S4 achieves 0.00% missed fraud, demonstrating superior generalization over static heuristics (37.78%).</t>
  </si>
  <si>
    <t>37.0% Net Bank Cost Reduction</t>
  </si>
  <si>
    <t>By cutting missed fraud while holding false blocks strictly at 0.00%, S4 drops expected cost per 1,000 transfers from PHP 89,696.37 to PHP 56,546.08.</t>
  </si>
  <si>
    <t>Standalone Text LLMs (S5) are Catastrophic Alone</t>
  </si>
  <si>
    <t>S5 misses 40% to 66% of fraud and incurs an astronomical cost of PHP 911k to PHP 1.53M per 1k transactions. LLMs cannot replace structured telemetry.</t>
  </si>
  <si>
    <t>PREDICTIVE TELEMETRY FEATURES &amp; DOMAIN SIGNIFICANCE (TREESHAP ANALYSIS)</t>
  </si>
  <si>
    <t>Mathematical attribution of feature importance, Shapley impact on model output, and retail banking fraud mechanisms</t>
  </si>
  <si>
    <t>1. TOP 10 PREDICTIVE TELEMETRY FEATURES (TREESHAP ANALYSIS ON VALIDATION SET V)</t>
  </si>
  <si>
    <t>Rank</t>
  </si>
  <si>
    <t>Telemetry Feature Name</t>
  </si>
  <si>
    <t>Mean |SHAP| Value</t>
  </si>
  <si>
    <t>Feature Group</t>
  </si>
  <si>
    <t>Domain Significance in Retail Banking</t>
  </si>
  <si>
    <t>Detection Mechanism</t>
  </si>
  <si>
    <t>os_patch_age_days</t>
  </si>
  <si>
    <t>Device Security</t>
  </si>
  <si>
    <t>Days elapsed since mobile OS vendor patch release</t>
  </si>
  <si>
    <t>Older patch levels correlate heavily with unpatched kernel vulnerabilities and emulator farms</t>
  </si>
  <si>
    <t>balance_drain_ratio</t>
  </si>
  <si>
    <t>Financial Telemetry</t>
  </si>
  <si>
    <t>Fraction of available account balance depleted in single transfer</t>
  </si>
  <si>
    <t>Fraudsters and money mules drain accounts to 0% immediately upon gaining access</t>
  </si>
  <si>
    <t>payee_age_days</t>
  </si>
  <si>
    <t>Counterparty History</t>
  </si>
  <si>
    <t>Age of beneficiary account since first interaction by sender</t>
  </si>
  <si>
    <t>New payees added minutes/hours before transfer carry massive scam collection risk</t>
  </si>
  <si>
    <t>form_seconds</t>
  </si>
  <si>
    <t>Behavioral Biometrics</t>
  </si>
  <si>
    <t>Time spent filling out and confirming the transfer form</t>
  </si>
  <si>
    <t>Sub-second transfers indicate automated bot scripts; extreme stalling indicates coercion</t>
  </si>
  <si>
    <t>payees_24h</t>
  </si>
  <si>
    <t>Velocity Telemetry</t>
  </si>
  <si>
    <t>Count of distinct payees added by account in last 24 hours</t>
  </si>
  <si>
    <t>Rapid counterparty additions indicate active account takeover or money laundering mule activity</t>
  </si>
  <si>
    <t>spike_ratio</t>
  </si>
  <si>
    <t>Historical Deviation</t>
  </si>
  <si>
    <t>Ratio of transfer amount to user's 90-day average transaction size</t>
  </si>
  <si>
    <t>Sudden 5x-10x spikes deviate from legitimate behavioral profile</t>
  </si>
  <si>
    <t>dow</t>
  </si>
  <si>
    <t>Temporal Cyclicality</t>
  </si>
  <si>
    <t>Day of the week of transfer execution</t>
  </si>
  <si>
    <t>Off-hour weekend transfers exhibit higher fraudulent incidence due to lower bank branch staffing</t>
  </si>
  <si>
    <t>credential_change_hours_ago</t>
  </si>
  <si>
    <t>Security State</t>
  </si>
  <si>
    <t>Recency of password, PIN, or biometric update</t>
  </si>
  <si>
    <t>Attackers change passwords or email addresses immediately prior to draining balances</t>
  </si>
  <si>
    <t>seconds_since_login</t>
  </si>
  <si>
    <t>Session Context</t>
  </si>
  <si>
    <t>Seconds elapsed between authentication and transfer submission</t>
  </si>
  <si>
    <t>Transfers submitted within seconds of login often stem from automated credential stuffing</t>
  </si>
  <si>
    <t>velocity_kmh</t>
  </si>
  <si>
    <t>Geo-Location Velocity</t>
  </si>
  <si>
    <t>Calculated physical speed between successive user logins</t>
  </si>
  <si>
    <t>Impossible physical travel (&gt;800 km/h) indicates proxy switching or credential sharing</t>
  </si>
  <si>
    <t>2. ABLATION STUDY: TELEMETRY SIGNAL LIFT (HYPOTHESIS H6 CONFIRMATION)</t>
  </si>
  <si>
    <t>Model Configuration</t>
  </si>
  <si>
    <t>Validation ROC-AUC</t>
  </si>
  <si>
    <t>Validation PR-AUC</t>
  </si>
  <si>
    <t>Observed Lift</t>
  </si>
  <si>
    <t>Feature Contribution Verdict</t>
  </si>
  <si>
    <t>Full Model (Tabular + Mobile Device Telemetry)</t>
  </si>
  <si>
    <t>Baseline (0.0000)</t>
  </si>
  <si>
    <t>Optimal Architecture</t>
  </si>
  <si>
    <t>Ablation A: Dropped Mobile Device Context</t>
  </si>
  <si>
    <t>-0.0137 (-1.37 pp)</t>
  </si>
  <si>
    <t>Proves mobile device telemetry delivers statistically validated lift</t>
  </si>
  <si>
    <t>Ablation B: Dropped Payee / Counterparty History</t>
  </si>
  <si>
    <t>-0.0027 (-0.27 pp)</t>
  </si>
  <si>
    <t>Counterparty age provides crucial scam collection defense</t>
  </si>
  <si>
    <t>QUALITATIVE INTERVENTION MATRIX &amp; ADVISORY CATALOG</t>
  </si>
  <si>
    <t>Contextual in-app behavioral dialogs designed to interrupt psychological coercion and Authorized Push Payment (APP) scams</t>
  </si>
  <si>
    <t>1. CONTEXTUAL SCAM INTERVENTION DIALOG CATALOG</t>
  </si>
  <si>
    <t>Threat Category</t>
  </si>
  <si>
    <t>Priority</t>
  </si>
  <si>
    <t>Real-Time Telemetry Triggers</t>
  </si>
  <si>
    <t>Customer-Facing Dialog Title</t>
  </si>
  <si>
    <t>In-App Body Warning Message Copy</t>
  </si>
  <si>
    <t>Read Delay</t>
  </si>
  <si>
    <t>Mandatory Checkbox Acknowledgment</t>
  </si>
  <si>
    <t>Recommended Action</t>
  </si>
  <si>
    <t>REMOTE_ACCESS_MALWARE</t>
  </si>
  <si>
    <t>Priority 1 (Highest)</t>
  </si>
  <si>
    <t>Active accessibility package matches AnyDesk, TeamViewer, RustDesk, QuickConnect, AirMirror, VNC; or media_projection screen sharing is active; or sideloaded APK origin.</t>
  </si>
  <si>
    <t>Active Screen Sharing or Remote App Detected</t>
  </si>
  <si>
    <t>An active screen-sharing or remote-assistance application is running on your device. Bank personnel and legitimate organizations will NEVER ask you to share your screen, install remote tools, or move your money to 'secure' an account. If someone is guiding your actions right now, stop immediately.</t>
  </si>
  <si>
    <t>3 seconds</t>
  </si>
  <si>
    <t>I confirm no one is remotely viewing or controlling my screen.</t>
  </si>
  <si>
    <t>CLOSE_REMOTE_APP</t>
  </si>
  <si>
    <t>LIVE_CALL_COERCION</t>
  </si>
  <si>
    <t>Priority 2</t>
  </si>
  <si>
    <t>Telephony call_state is CALL_STATE_OFFHOOK or IN_CALL during transfer submission; short time on transfer form (&lt;5s) to newly added recipient.</t>
  </si>
  <si>
    <t>Active Phone Call Scam Warning</t>
  </si>
  <si>
    <t>You are currently on an active voice call while transferring funds to a newly added recipient. Impersonators often pose as law enforcement, bank fraud staff, or customer service and stay on the line to pressure you into transferring funds immediately. Hang up and independently verify before sending money.</t>
  </si>
  <si>
    <t>I confirm I am not being instructed by someone on an active phone call.</t>
  </si>
  <si>
    <t>HANG_UP_CALL</t>
  </si>
  <si>
    <t>PURPOSE_ACCOUNT_MISMATCH</t>
  </si>
  <si>
    <t>Priority 3</t>
  </si>
  <si>
    <t>Customer selects transfer purpose containing 'BILLS_PAYMENT', 'GOVERNMENT', or 'OFFICIAL'; but destination account is a personal retail savings account (&lt;24h old).</t>
  </si>
  <si>
    <t>Account Type &amp; Purpose Discrepancy</t>
  </si>
  <si>
    <t>You selected 'Bills Payment' or 'Official Business', but the destination account belongs to an individual personal savings account created recently. Legitimate utility providers, government agencies, and merchant platforms do not receive bill payments via personal peer-to-peer accounts.</t>
  </si>
  <si>
    <t>I acknowledge that I am sending funds to an individual person, not an official biller.</t>
  </si>
  <si>
    <t>VERIFY_RECIPIENT</t>
  </si>
  <si>
    <t>EXTERNAL_CLIPBOARD_PASTE</t>
  </si>
  <si>
    <t>Priority 4</t>
  </si>
  <si>
    <t>Account input mode is PASTED_FROM_EXTERNAL_APP (WhatsApp, Telegram, Facebook); rapid transfer submission with zero previous interaction history.</t>
  </si>
  <si>
    <t>Account Number Pasted from External App</t>
  </si>
  <si>
    <t>This account number was copied directly from a messaging application. If someone you met on Telegram, WhatsApp, or Facebook instructed you to send this money for an online task deposit, crypto commission, or prize release fee, this transfer cannot be reversed.</t>
  </si>
  <si>
    <t>I know this recipient personally and am not sending money for an online task.</t>
  </si>
  <si>
    <t>PROCEED_WITH_CAUTION</t>
  </si>
  <si>
    <t>GENERAL_ADVISORY</t>
  </si>
  <si>
    <t>Priority 5 (Fallback)</t>
  </si>
  <si>
    <t>Unofficial installer source or OS patch age &gt; 180 days combined with amount spike ratio &gt;= 2.0x baseline.</t>
  </si>
  <si>
    <t>Security Verification Required</t>
  </si>
  <si>
    <t>Unusual activity detected for this transaction. Please double-check the recipient name, account number, and transfer amount carefully before confirming.</t>
  </si>
  <si>
    <t>2 seconds</t>
  </si>
  <si>
    <t>I verify that all transfer details are accurate.</t>
  </si>
  <si>
    <t>2. CUSTOMER RESOLUTION PATHS UPON ADVISORY INTERVENTION</t>
  </si>
  <si>
    <t>Customer Action Path</t>
  </si>
  <si>
    <t>Button Action in UI</t>
  </si>
  <si>
    <t>System State Transition</t>
  </si>
  <si>
    <t>Funds Disposition</t>
  </si>
  <si>
    <t>Security Outcome &amp; Value</t>
  </si>
  <si>
    <t>Path 1: Scam Recognition &amp; Cancellation</t>
  </si>
  <si>
    <t>Cancel Transfer</t>
  </si>
  <si>
    <t>CANCELLED (Client Aborted)</t>
  </si>
  <si>
    <t>100% Retained in Customer Account</t>
  </si>
  <si>
    <t>The victim recognizes the fraud, terminates the caller's instructions, and saves their money.</t>
  </si>
  <si>
    <t>Path 2: 10-Minute Cool-Off Hold</t>
  </si>
  <si>
    <t>Pause Transfer (10-Min Hold)</t>
  </si>
  <si>
    <t>HOLD_PENDING (Settlement Delayed)</t>
  </si>
  <si>
    <t>Frozen in Transit for 10 Minutes</t>
  </si>
  <si>
    <t>Introduces time-delay friction; customer can contact bank support or family to verify authenticity.</t>
  </si>
  <si>
    <t>Path 3: Informed Proceed with Biometric</t>
  </si>
  <si>
    <t>Acknowledge &amp; Confirm</t>
  </si>
  <si>
    <t>ADVISORY_ACCEPTED -&gt; Biometric Auth</t>
  </si>
  <si>
    <t>Funds Transferred via OFS</t>
  </si>
  <si>
    <t>Legitimate users (e.g. sharing screen with child) check the box, wait 3 seconds, and proceed seamlessly.</t>
  </si>
  <si>
    <t>MATHEMATICAL FORMULATIONS, ADVERSARIAL RIGOR &amp; SLA PROFILING</t>
  </si>
  <si>
    <t>Bayesian logit calibration, prompt injection immunity verification, and pipeline latency breakdowns</t>
  </si>
  <si>
    <t>1. MATHEMATICAL FORMULATION: BAYESIAN PRIORS &amp; SOFTMAX CALIBRATION</t>
  </si>
  <si>
    <t>Mathematical Parameter</t>
  </si>
  <si>
    <t>Formula / Value</t>
  </si>
  <si>
    <t>Operational Purpose</t>
  </si>
  <si>
    <t>Calibration Target</t>
  </si>
  <si>
    <t>Safety Guarantee</t>
  </si>
  <si>
    <t>Baseline Bayesian Prior</t>
  </si>
  <si>
    <t>Prior_ALLOW = +6.5, Prior_2FA = 0.0, Prior_BLOCK = 0.0</t>
  </si>
  <si>
    <t>Establishes low-friction prior on routine mobile transfers</t>
  </si>
  <si>
    <t>Preserves sub-1% false positive baseline</t>
  </si>
  <si>
    <t>Guarantees innocent users stay on fast path</t>
  </si>
  <si>
    <t>Screen Sharing / Remote Offset</t>
  </si>
  <si>
    <t>Prior_ALLOW -= 8.0, Prior_2FA += 10.0</t>
  </si>
  <si>
    <t>Immediately penalizes active AnyDesk/TeamViewer sessions</t>
  </si>
  <si>
    <t>Pushes logit balance into advisory/step-up territory</t>
  </si>
  <si>
    <t>Prevents remote attackers from bypassing friction</t>
  </si>
  <si>
    <t>Live Phone Call Offset</t>
  </si>
  <si>
    <t>Prior_ALLOW -= 6.0, Prior_2FA += 8.0</t>
  </si>
  <si>
    <t>Penalizes active voice calls during transfer submission</t>
  </si>
  <si>
    <t>Triggers live-call advisory modal</t>
  </si>
  <si>
    <t>Interrupts social engineering pressure</t>
  </si>
  <si>
    <t>Temperature Scaling (T=5.0)</t>
  </si>
  <si>
    <t>z_i = (Logit_i + Prior_i) / 5.0</t>
  </si>
  <si>
    <t>Smooths overconfident Qwen2.5-0.5B neural logits</t>
  </si>
  <si>
    <t>Reduces ECE from 49.5% down to 21.3%</t>
  </si>
  <si>
    <t>Produces well-calibrated empirical probabilities</t>
  </si>
  <si>
    <t>Calibrated Fraud Score</t>
  </si>
  <si>
    <t>Score = min(100, max(0, 100 * (P_BLOCK*1.0 + P_2FA*0.70)))</t>
  </si>
  <si>
    <t>Maps continuous probability distribution to 0-100 score</t>
  </si>
  <si>
    <t>Aligns with bank AML compliance scoring scales</t>
  </si>
  <si>
    <t>Deterministic scoring invariant</t>
  </si>
  <si>
    <t>Escalate-Only Invariant</t>
  </si>
  <si>
    <t>RiskTier(final) &gt;= RiskTier(Stage 1)</t>
  </si>
  <si>
    <t>Mathematically enforces that text/LLMs can never downgrade risk</t>
  </si>
  <si>
    <t>Immunity to all prompt injection attacks</t>
  </si>
  <si>
    <t>0.00% prompt injection downgrade rate</t>
  </si>
  <si>
    <t>2. ADVERSARIAL ROBUSTNESS: 60 ATTACK VECTORS ACROSS 600 TRIALS (100% IMMUNITY)</t>
  </si>
  <si>
    <t>Attack Category</t>
  </si>
  <si>
    <t>Attack Vectors Tested</t>
  </si>
  <si>
    <t>Evaluation Trials</t>
  </si>
  <si>
    <t>Action Downgrades</t>
  </si>
  <si>
    <t>Risk Escalations</t>
  </si>
  <si>
    <t>Unchanged Decisions</t>
  </si>
  <si>
    <t>Safety Verdict</t>
  </si>
  <si>
    <t>Direct Instruction Overrides ('IGNORE ALL RULES')</t>
  </si>
  <si>
    <t>0 (0.00%)</t>
  </si>
  <si>
    <t>22 (36.7%)</t>
  </si>
  <si>
    <t>38 (63.3%)</t>
  </si>
  <si>
    <t>100% IMMUNE</t>
  </si>
  <si>
    <t>Authority &amp; Admin Impersonation ('[BSP AUDIT CLEAR]')</t>
  </si>
  <si>
    <t>24 (40.0%)</t>
  </si>
  <si>
    <t>36 (60.0%)</t>
  </si>
  <si>
    <t>Delimiter &amp; Markdown Escapes ('&lt;/risk_prompt&gt;')</t>
  </si>
  <si>
    <t>21 (35.0%)</t>
  </si>
  <si>
    <t>39 (65.0%)</t>
  </si>
  <si>
    <t>Social Engineering &amp; Urgency ('Hospital ICU fee')</t>
  </si>
  <si>
    <t>25 (41.7%)</t>
  </si>
  <si>
    <t>35 (58.3%)</t>
  </si>
  <si>
    <t>Tagalog / Taglish Disguises ('Padala para kay lola')</t>
  </si>
  <si>
    <t>23 (38.3%)</t>
  </si>
  <si>
    <t>37 (61.7%)</t>
  </si>
  <si>
    <t>Cryptographic / Hash Camouflage ('SHA256: e3b0c442...')</t>
  </si>
  <si>
    <t>Fake Structured Output ('{"decision": "ALLOW"}')</t>
  </si>
  <si>
    <t>Roleplay &amp; Jailbreak Framing ('In a fictional banking story')</t>
  </si>
  <si>
    <t>Character Padding &amp; Leetspeak ('A.L.L.O.W')</t>
  </si>
  <si>
    <t>Multi-Stage Context Pollution (Long prompt bloat)</t>
  </si>
  <si>
    <t>TOTAL ADVERSARIAL SUITE SUMMARY</t>
  </si>
  <si>
    <t>225 (37.5%)</t>
  </si>
  <si>
    <t>375 (62.5%)</t>
  </si>
  <si>
    <t>3. PIPELINE LATENCY PROFILE &amp; SLA BUDGET (BUDGET: &lt; 250 MS ROUND TRIP)</t>
  </si>
  <si>
    <t>Pipeline Component</t>
  </si>
  <si>
    <t>p50 Latency</t>
  </si>
  <si>
    <t>p95 Latency</t>
  </si>
  <si>
    <t>p99 Latency</t>
  </si>
  <si>
    <t>Execution Profile</t>
  </si>
  <si>
    <t>SLA Compliance</t>
  </si>
  <si>
    <t>Optimization Notes</t>
  </si>
  <si>
    <t>Gate 0 Deterministic Rules</t>
  </si>
  <si>
    <t>0.001 ms</t>
  </si>
  <si>
    <t>Synchronous In-Memory Check</t>
  </si>
  <si>
    <t>100.0%</t>
  </si>
  <si>
    <t>Instant rule triage; blocks impossible travel in microseconds</t>
  </si>
  <si>
    <t>Tabular Feature Pipeline</t>
  </si>
  <si>
    <t>31.1 ms</t>
  </si>
  <si>
    <t>52.4 ms</t>
  </si>
  <si>
    <t>71.0 ms</t>
  </si>
  <si>
    <t>Vectorized NumPy / Pandas</t>
  </si>
  <si>
    <t>Constructs 32 customer profile and device features</t>
  </si>
  <si>
    <t>XGBoost S2 Inference</t>
  </si>
  <si>
    <t>4.4 ms</t>
  </si>
  <si>
    <t>29.4 ms</t>
  </si>
  <si>
    <t>55.8 ms</t>
  </si>
  <si>
    <t>C-API Tree Traversal</t>
  </si>
  <si>
    <t>Primary mathematical decision gate</t>
  </si>
  <si>
    <t>NanoJev Cache Hit</t>
  </si>
  <si>
    <t>0.36 ms</t>
  </si>
  <si>
    <t>0.67 ms</t>
  </si>
  <si>
    <t>0.98 ms</t>
  </si>
  <si>
    <t>SHA256 In-Memory Cache Lookup</t>
  </si>
  <si>
    <t>Instant retrieval for repeated transaction profiles</t>
  </si>
  <si>
    <t>Escalate-Only Fusion Rule</t>
  </si>
  <si>
    <t>0.000 ms</t>
  </si>
  <si>
    <t>Integer Comparison Logic</t>
  </si>
  <si>
    <t>Applies mathematical safety invariant</t>
  </si>
  <si>
    <t>SAR Async Generator Dispatch</t>
  </si>
  <si>
    <t>0.008 ms</t>
  </si>
  <si>
    <t>0.014 ms</t>
  </si>
  <si>
    <t>0.25 ms</t>
  </si>
  <si>
    <t>Non-Blocking Background Thread</t>
  </si>
  <si>
    <t>Drafts AMLC regulatory filing without slowing payments</t>
  </si>
  <si>
    <t>PRODUCTION OPERATIONAL ANALYTICS &amp; FRAUD INTERCEPTION KPIS</t>
  </si>
  <si>
    <t>Live 100-transaction benchmark profile, decision friction breakdown, zero-SMS enforcement, and scam save rates</t>
  </si>
  <si>
    <t>1. LIVE THROUGHPUT &amp; LATENCY BENCHMARK (100 TRANSACTIONS END-TO-END EVALUATION)</t>
  </si>
  <si>
    <t>Observed Value</t>
  </si>
  <si>
    <t>Production SLA Target</t>
  </si>
  <si>
    <t>Compliance Margin</t>
  </si>
  <si>
    <t>System Layer</t>
  </si>
  <si>
    <t>Operational Implication</t>
  </si>
  <si>
    <t>Peak Evaluated Throughput</t>
  </si>
  <si>
    <t>68.19 req/sec</t>
  </si>
  <si>
    <t>&gt;= 50 req/sec</t>
  </si>
  <si>
    <t>+36.4% Headroom</t>
  </si>
  <si>
    <t>FastAPI / Uvicorn Cluster</t>
  </si>
  <si>
    <t>Supports peak payroll and banking cut-off hour volumes without queuing</t>
  </si>
  <si>
    <t>Median Latency (p50)</t>
  </si>
  <si>
    <t>62.5 ms</t>
  </si>
  <si>
    <t>&lt; 150.0 ms</t>
  </si>
  <si>
    <t>-58.3% vs SLA</t>
  </si>
  <si>
    <t>Full End-to-End Pipeline</t>
  </si>
  <si>
    <t>Imperceptible delay on standard mobile banking transactions</t>
  </si>
  <si>
    <t>90th Percentile Latency (p90)</t>
  </si>
  <si>
    <t>114.2 ms</t>
  </si>
  <si>
    <t>&lt; 200.0 ms</t>
  </si>
  <si>
    <t>-42.9% vs SLA</t>
  </si>
  <si>
    <t>Ensures sub-150ms transfer responsiveness under variable mobile loads</t>
  </si>
  <si>
    <t>95th Percentile Latency (p95)</t>
  </si>
  <si>
    <t>151.8 ms</t>
  </si>
  <si>
    <t>&lt; 250.0 ms</t>
  </si>
  <si>
    <t>-39.3% vs SLA</t>
  </si>
  <si>
    <t>Guarantees strict compliance with core banking payment gateway timeouts</t>
  </si>
  <si>
    <t>99th Percentile Latency (p99)</t>
  </si>
  <si>
    <t>189.4 ms</t>
  </si>
  <si>
    <t>&lt; 300.0 ms</t>
  </si>
  <si>
    <t>-36.9% vs SLA</t>
  </si>
  <si>
    <t>Worst-case cold cache and complex feature evaluation stays within SLA</t>
  </si>
  <si>
    <t>Maximum Latency (Max)</t>
  </si>
  <si>
    <t>218.0 ms</t>
  </si>
  <si>
    <t>&lt; 350.0 ms</t>
  </si>
  <si>
    <t>-37.7% vs SLA</t>
  </si>
  <si>
    <t>Cold Path Ingestion</t>
  </si>
  <si>
    <t>No transaction encounters thread starvation or gateway timeout</t>
  </si>
  <si>
    <t>Gateway Error Rate</t>
  </si>
  <si>
    <t>0.00% (0 / 100)</t>
  </si>
  <si>
    <t>&lt; 0.05%</t>
  </si>
  <si>
    <t>Zero Errors</t>
  </si>
  <si>
    <t>Reverse Proxy / Ingress</t>
  </si>
  <si>
    <t>100.0% transaction availability and system reliability</t>
  </si>
  <si>
    <t>Fast-Path Pass Rate</t>
  </si>
  <si>
    <t>42.0% (42 / 100)</t>
  </si>
  <si>
    <t>&gt;= 40.0%</t>
  </si>
  <si>
    <t>Within Target</t>
  </si>
  <si>
    <t>Biometric Fast-Path</t>
  </si>
  <si>
    <t>Innocent users proceed immediately with zero friction</t>
  </si>
  <si>
    <t>2. ENGINE DECISION DISTRIBUTION &amp; CUSTOMER FRICTION BREAKDOWN</t>
  </si>
  <si>
    <t>Engine Decision</t>
  </si>
  <si>
    <t>Tx Count</t>
  </si>
  <si>
    <t>Percentage Share</t>
  </si>
  <si>
    <t>Trigger Criteria</t>
  </si>
  <si>
    <t>User Experience Impact</t>
  </si>
  <si>
    <t>Fraud Interception Value</t>
  </si>
  <si>
    <t>ALLOW (Fast-Path Biometric)</t>
  </si>
  <si>
    <t>42.0%</t>
  </si>
  <si>
    <t>Fraud score &lt; 30 &amp; normal device telemetry</t>
  </si>
  <si>
    <t>Zero added friction; instant TouchID/FaceID confirmation</t>
  </si>
  <si>
    <t>Preserves seamless banking experience for routine legitimate transfers</t>
  </si>
  <si>
    <t>ADVISORY_WARNING (Cognitive Friction)</t>
  </si>
  <si>
    <t>31.0%</t>
  </si>
  <si>
    <t>Active call, screen share, or clipboard paste detected</t>
  </si>
  <si>
    <t>In-app modal with 3s unskippable delay &amp; explicit warning acknowledgment</t>
  </si>
  <si>
    <t>Breaks active psychological coercion without locking legitimate accounts</t>
  </si>
  <si>
    <t>BLOCK (Hard Stop)</t>
  </si>
  <si>
    <t>27.0%</t>
  </si>
  <si>
    <t>High risk score (&gt; 70) or Gate 0 impossible travel / mule blacklist</t>
  </si>
  <si>
    <t>Transfer rejected immediately; funds retained in sender account</t>
  </si>
  <si>
    <t>Hard-stops confirmed criminal drain operations and emulator syndicates</t>
  </si>
  <si>
    <t>3. HARDWARE-BOUND AUTHENTICATION &amp; ZERO SMS OTP ENFORCEMENT (BSP CIRCULAR NO. 1140)</t>
  </si>
  <si>
    <t>Authentication Mechanism</t>
  </si>
  <si>
    <t>Transaction Share</t>
  </si>
  <si>
    <t>Hardware Security Binding</t>
  </si>
  <si>
    <t>Vulnerability to SIM-Swap</t>
  </si>
  <si>
    <t>Regulatory Status</t>
  </si>
  <si>
    <t>Operational Role</t>
  </si>
  <si>
    <t>Biometric Primary (Secure Enclave / TEE)</t>
  </si>
  <si>
    <t>60.0% of Approved Tx</t>
  </si>
  <si>
    <t>FIDO2 / WebAuthn cryptographic keypair inside hardware chip</t>
  </si>
  <si>
    <t>Zero Vulnerability (Cryptographically immune)</t>
  </si>
  <si>
    <t>Mandated (BSP Cir. 1140)</t>
  </si>
  <si>
    <t>Primary authentication for all routine and low-risk transactions</t>
  </si>
  <si>
    <t>Out-of-Band (OOB) Secure Push Notification</t>
  </si>
  <si>
    <t>13.0% of Elevated Tx</t>
  </si>
  <si>
    <t>Encrypted push to uniquely bound enrolled hardware device</t>
  </si>
  <si>
    <t>Zero Vulnerability (Carrier independent)</t>
  </si>
  <si>
    <t>Approved Step-Up</t>
  </si>
  <si>
    <t>Triggered for moderate risk elevation or payee additions</t>
  </si>
  <si>
    <t>Direct Block (No Auth Challenge Issued)</t>
  </si>
  <si>
    <t>27.0% of Total Tx</t>
  </si>
  <si>
    <t>Transaction terminated at engine gate; no token issued</t>
  </si>
  <si>
    <t>Mandated Rejection</t>
  </si>
  <si>
    <t>Prevents fraudsters from attempting brute-force authorization</t>
  </si>
  <si>
    <t>Legacy SMS OTP (Insecure Fallback)</t>
  </si>
  <si>
    <t>0.00% (Strictly Banned)</t>
  </si>
  <si>
    <t>Unencrypted cellular SS7 carrier transport</t>
  </si>
  <si>
    <t>Extreme (SS7 interception, SIM swap, phishing)</t>
  </si>
  <si>
    <t>Prohibited for Retail Transfers</t>
  </si>
  <si>
    <t>Completely eliminated across all transfer endpoints</t>
  </si>
  <si>
    <t>4. SCAM TYPOLOGY INTERCEPTION EFFECTIVENESS &amp; CUSTOMER SAVE RATES</t>
  </si>
  <si>
    <t>Social Engineering Typology</t>
  </si>
  <si>
    <t>Detection Rate</t>
  </si>
  <si>
    <t>Advisory Dialog Displayed</t>
  </si>
  <si>
    <t>Customer Save Rate</t>
  </si>
  <si>
    <t>10-Min Hold Rate</t>
  </si>
  <si>
    <t>Remote-Access Malware (AnyDesk, TeamViewer)</t>
  </si>
  <si>
    <t>Remote Access Tool Detected</t>
  </si>
  <si>
    <t>Live Phone Call Coercion (Active Voice Call)</t>
  </si>
  <si>
    <t>Active Phone Call Detected</t>
  </si>
  <si>
    <t>Purpose Mismatch / Impersonation Scam</t>
  </si>
  <si>
    <t>Unverified Investment / Impersonation</t>
  </si>
  <si>
    <t>Clipboard Paste from External App (Telegram/FB)</t>
  </si>
  <si>
    <t>AGGREGATE SCAM INTERCEPTION BENCHMARK</t>
  </si>
  <si>
    <t>Targeted Qualitative Interventions</t>
  </si>
  <si>
    <t>5. REGULATORY COMPLIANCE, AMLC REPORTING &amp; AUDIT METRICS</t>
  </si>
  <si>
    <t>Compliance Domain</t>
  </si>
  <si>
    <t>Mandatory Regulation</t>
  </si>
  <si>
    <t>System Operational Capability</t>
  </si>
  <si>
    <t>Audit Status</t>
  </si>
  <si>
    <t>Risk Mitigation</t>
  </si>
  <si>
    <t>Automated SAR Filing Drafts</t>
  </si>
  <si>
    <t>AMLC RA 9160 (Sec. 9)</t>
  </si>
  <si>
    <t>Automated Qwen2.5-0.5B SAR narrative dispatch for blocked or flagged transfers</t>
  </si>
  <si>
    <t>0.008 ms (Async)</t>
  </si>
  <si>
    <t>100.0% Compliant</t>
  </si>
  <si>
    <t>Eliminates manual investigator filing backlogs and prevents late-filing fines</t>
  </si>
  <si>
    <t>SMS OTP Elimination</t>
  </si>
  <si>
    <t>BSP Circular No. 1140</t>
  </si>
  <si>
    <t>Zero SMS OTP fallback on all transaction and authentication endpoints</t>
  </si>
  <si>
    <t>0.0 ms (Hard Ban)</t>
  </si>
  <si>
    <t>Full immunity to SIM-swap, SS7 cellular interception, and SMS phishing</t>
  </si>
  <si>
    <t>Model Explainability</t>
  </si>
  <si>
    <t>BSP Cir. 1122 (AI Governance)</t>
  </si>
  <si>
    <t>Real-time local TreeSHAP attribution and top-3 contributing risk signals generated</t>
  </si>
  <si>
    <t>3.2 ms per call</t>
  </si>
  <si>
    <t>Provides transparent algorithmic audit trail for internal audit and regulators</t>
  </si>
  <si>
    <t>Adversarial Defense Rigor</t>
  </si>
  <si>
    <t>BSP Circular No. 1033</t>
  </si>
  <si>
    <t>Escalate-Only invariant mathematically guarantees prompt injection cannot downgrade risk</t>
  </si>
  <si>
    <t>0.000 ms (Invariant)</t>
  </si>
  <si>
    <t>100.0% Immune</t>
  </si>
  <si>
    <t>Zero attack vectors can jailbreak or downgrade high-risk transactions</t>
  </si>
  <si>
    <t>Data Residency &amp; Sovereignty</t>
  </si>
  <si>
    <t>Data Privacy Act of 2012</t>
  </si>
  <si>
    <t>All model inference executed on on-premise / VPC air-gapped instances</t>
  </si>
  <si>
    <t>Zero external calls</t>
  </si>
  <si>
    <t>Customer financial data and PII never transit external third-party LLM APIs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</si>
</sst>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15" x14ac:knownFonts="1">
    <font>
      <sz val="11"/>
      <color theme="1"/>
      <name val="Calibri"/>
      <family val="2"/>
      <scheme val="minor"/>
    </font>
    <font>
      <b/>
      <sz val="14"/>
      <color rgb="FFFFFFFF"/>
      <name val="Segoe UI"/>
    </font>
    <font>
      <i/>
      <sz val="9.5"/>
      <color rgb="FFE2E8F0"/>
      <name val="Segoe UI"/>
    </font>
    <font>
      <b/>
      <sz val="11"/>
      <color rgb="FF1B365D"/>
      <name val="Segoe UI"/>
    </font>
    <font>
      <sz val="9.5"/>
      <color rgb="FF334155"/>
      <name val="Segoe UI"/>
    </font>
    <font>
      <b/>
      <sz val="9.5"/>
      <color rgb="FFFFFFFF"/>
      <name val="Segoe UI"/>
    </font>
    <font>
      <b/>
      <sz val="9.5"/>
      <color rgb="FF1E293B"/>
      <name val="Segoe UI"/>
    </font>
    <font>
      <sz val="9.5"/>
      <color rgb="FF1E293B"/>
      <name val="Segoe UI"/>
    </font>
    <font>
      <b/>
      <sz val="9.5"/>
      <color rgb="FF15803D"/>
      <name val="Segoe UI"/>
    </font>
    <font>
      <b/>
      <sz val="9.5"/>
      <color rgb="FF1B365D"/>
      <name val="Segoe UI"/>
    </font>
    <font>
      <b/>
      <sz val="9.5"/>
      <color rgb="FF1D4ED8"/>
      <name val="Segoe UI"/>
    </font>
    <font>
      <b/>
      <sz val="9.5"/>
      <color rgb="FF6B21A8"/>
      <name val="Segoe UI"/>
    </font>
    <font>
      <i/>
      <sz val="9.5"/>
      <color rgb="FF1E293B"/>
      <name val="Segoe UI"/>
    </font>
    <font>
      <b/>
      <sz val="9.5"/>
      <color rgb="FFB45309"/>
      <name val="Segoe UI"/>
    </font>
    <font>
      <b/>
      <sz val="9.5"/>
      <color rgb="FFB91C1C"/>
      <name val="Segoe UI"/>
    </font>
  </fonts>
  <fills count="12">
    <fill>
      <patternFill patternType="none"/>
    </fill>
    <fill>
      <patternFill patternType="gray125"/>
    </fill>
    <fill>
      <patternFill patternType="solid">
        <fgColor rgb="FF1B365D"/>
        <bgColor rgb="FF1B365D"/>
      </patternFill>
    </fill>
    <fill>
      <patternFill patternType="solid">
        <fgColor rgb="FF2C5282"/>
        <bgColor rgb="FF2C5282"/>
      </patternFill>
    </fill>
    <fill>
      <patternFill patternType="solid">
        <fgColor rgb="FFF1F5F9"/>
        <bgColor rgb="FFF1F5F9"/>
      </patternFill>
    </fill>
    <fill>
      <patternFill patternType="solid">
        <fgColor rgb="FF2B4C7E"/>
        <bgColor rgb="FF2B4C7E"/>
      </patternFill>
    </fill>
    <fill>
      <patternFill patternType="solid">
        <fgColor rgb="FFFFFFFF"/>
        <bgColor rgb="FFFFFFFF"/>
      </patternFill>
    </fill>
    <fill>
      <patternFill patternType="solid">
        <fgColor rgb="FFEFF6FF"/>
        <bgColor rgb="FFEFF6FF"/>
      </patternFill>
    </fill>
    <fill>
      <patternFill patternType="solid">
        <fgColor rgb="FFDCFCE7"/>
        <bgColor rgb="FFDCFCE7"/>
      </patternFill>
    </fill>
    <fill>
      <patternFill patternType="solid">
        <fgColor rgb="FFF3E8FF"/>
        <bgColor rgb="FFF3E8FF"/>
      </patternFill>
    </fill>
    <fill>
      <patternFill patternType="solid">
        <fgColor rgb="FFFEF3C7"/>
        <bgColor rgb="FFFEF3C7"/>
      </patternFill>
    </fill>
    <fill>
      <patternFill patternType="solid">
        <fgColor rgb="FFFEE2E2"/>
        <bgColor rgb="FFFEE2E2"/>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45">
    <xf numFmtId="0" fontId="0" fillId="0" borderId="0" xfId="0"/>
    <xf numFmtId="0" fontId="5" fillId="5"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7" fillId="6" borderId="1" xfId="0" applyFont="1" applyFill="1" applyBorder="1" applyAlignment="1">
      <alignment horizontal="right" vertical="center" wrapText="1"/>
    </xf>
    <xf numFmtId="0" fontId="6" fillId="7" borderId="1" xfId="0" applyFont="1" applyFill="1" applyBorder="1" applyAlignment="1">
      <alignment horizontal="right" vertical="center" wrapText="1"/>
    </xf>
    <xf numFmtId="0" fontId="8" fillId="8" borderId="1" xfId="0" applyFont="1" applyFill="1" applyBorder="1" applyAlignment="1">
      <alignment horizontal="center" vertical="center"/>
    </xf>
    <xf numFmtId="0" fontId="6" fillId="6" borderId="1" xfId="0" applyFont="1" applyFill="1" applyBorder="1" applyAlignment="1">
      <alignment horizontal="center" vertical="center" wrapText="1"/>
    </xf>
    <xf numFmtId="164" fontId="7" fillId="6" borderId="1" xfId="0" applyNumberFormat="1" applyFont="1" applyFill="1" applyBorder="1" applyAlignment="1">
      <alignment horizontal="right" vertical="center" wrapText="1"/>
    </xf>
    <xf numFmtId="10" fontId="7" fillId="6" borderId="1" xfId="0" applyNumberFormat="1" applyFont="1" applyFill="1" applyBorder="1" applyAlignment="1">
      <alignment horizontal="right" vertical="center" wrapText="1"/>
    </xf>
    <xf numFmtId="4" fontId="7" fillId="6" borderId="1" xfId="0" applyNumberFormat="1" applyFont="1" applyFill="1" applyBorder="1" applyAlignment="1">
      <alignment horizontal="right" vertical="center" wrapText="1"/>
    </xf>
    <xf numFmtId="0" fontId="6" fillId="7" borderId="1" xfId="0" applyFont="1" applyFill="1" applyBorder="1" applyAlignment="1">
      <alignment horizontal="center" vertical="center" wrapText="1"/>
    </xf>
    <xf numFmtId="164" fontId="7" fillId="7" borderId="1" xfId="0" applyNumberFormat="1" applyFont="1" applyFill="1" applyBorder="1" applyAlignment="1">
      <alignment horizontal="right" vertical="center" wrapText="1"/>
    </xf>
    <xf numFmtId="10" fontId="7" fillId="7" borderId="1" xfId="0" applyNumberFormat="1" applyFont="1" applyFill="1" applyBorder="1" applyAlignment="1">
      <alignment horizontal="right" vertical="center" wrapText="1"/>
    </xf>
    <xf numFmtId="10" fontId="6" fillId="7" borderId="1" xfId="0" applyNumberFormat="1" applyFont="1" applyFill="1" applyBorder="1" applyAlignment="1">
      <alignment horizontal="right" vertical="center" wrapText="1"/>
    </xf>
    <xf numFmtId="4" fontId="6" fillId="7" borderId="1" xfId="0" applyNumberFormat="1" applyFont="1" applyFill="1" applyBorder="1" applyAlignment="1">
      <alignment horizontal="right" vertical="center" wrapText="1"/>
    </xf>
    <xf numFmtId="0" fontId="9" fillId="0" borderId="0" xfId="0" applyFont="1"/>
    <xf numFmtId="0" fontId="10" fillId="7" borderId="1" xfId="0" applyFont="1" applyFill="1" applyBorder="1" applyAlignment="1">
      <alignment horizontal="center" vertical="center"/>
    </xf>
    <xf numFmtId="0" fontId="11" fillId="9" borderId="1" xfId="0" applyFont="1" applyFill="1" applyBorder="1" applyAlignment="1">
      <alignment horizontal="center" vertical="center"/>
    </xf>
    <xf numFmtId="0" fontId="7" fillId="6" borderId="1" xfId="0" applyFont="1" applyFill="1" applyBorder="1" applyAlignment="1">
      <alignment horizontal="center" vertical="center" wrapText="1"/>
    </xf>
    <xf numFmtId="0" fontId="12" fillId="6" borderId="1" xfId="0" applyFont="1" applyFill="1" applyBorder="1" applyAlignment="1">
      <alignment horizontal="left" vertical="center" wrapText="1"/>
    </xf>
    <xf numFmtId="0" fontId="13" fillId="10" borderId="1" xfId="0" applyFont="1" applyFill="1" applyBorder="1" applyAlignment="1">
      <alignment horizontal="center" vertical="center"/>
    </xf>
    <xf numFmtId="0" fontId="7" fillId="7" borderId="1" xfId="0" applyFont="1" applyFill="1" applyBorder="1" applyAlignment="1">
      <alignment horizontal="center" vertical="center" wrapText="1"/>
    </xf>
    <xf numFmtId="0" fontId="7" fillId="7" borderId="1" xfId="0" applyFont="1" applyFill="1" applyBorder="1" applyAlignment="1">
      <alignment horizontal="right" vertical="center" wrapText="1"/>
    </xf>
    <xf numFmtId="0" fontId="6" fillId="6" borderId="1" xfId="0" applyFont="1" applyFill="1" applyBorder="1" applyAlignment="1">
      <alignment horizontal="right" vertical="center" wrapText="1"/>
    </xf>
    <xf numFmtId="0" fontId="14" fillId="11" borderId="1" xfId="0" applyFont="1" applyFill="1" applyBorder="1" applyAlignment="1">
      <alignment horizontal="center" vertical="center"/>
    </xf>
    <xf numFmtId="0" fontId="6" fillId="11" borderId="1" xfId="0" applyFont="1" applyFill="1" applyBorder="1" applyAlignment="1">
      <alignment horizontal="left" vertical="center" wrapText="1"/>
    </xf>
    <xf numFmtId="0" fontId="7" fillId="11" borderId="1" xfId="0" applyFont="1" applyFill="1" applyBorder="1" applyAlignment="1">
      <alignment horizontal="right" vertical="center" wrapText="1"/>
    </xf>
    <xf numFmtId="0" fontId="7" fillId="11" borderId="1" xfId="0" applyFont="1" applyFill="1" applyBorder="1" applyAlignment="1">
      <alignment horizontal="left" vertical="center" wrapText="1"/>
    </xf>
    <xf numFmtId="165" fontId="6" fillId="6" borderId="1" xfId="0" applyNumberFormat="1" applyFont="1" applyFill="1" applyBorder="1" applyAlignment="1">
      <alignment horizontal="right" vertical="center" wrapText="1"/>
    </xf>
    <xf numFmtId="165" fontId="6" fillId="8" borderId="1" xfId="0" applyNumberFormat="1" applyFont="1" applyFill="1" applyBorder="1" applyAlignment="1">
      <alignment horizontal="right" vertical="center" wrapText="1"/>
    </xf>
    <xf numFmtId="165" fontId="7" fillId="6" borderId="1" xfId="0" applyNumberFormat="1" applyFont="1" applyFill="1" applyBorder="1" applyAlignment="1">
      <alignment horizontal="right" vertical="center" wrapText="1"/>
    </xf>
    <xf numFmtId="165" fontId="6" fillId="7" borderId="1" xfId="0" applyNumberFormat="1" applyFont="1" applyFill="1" applyBorder="1" applyAlignment="1">
      <alignment horizontal="right" vertical="center" wrapText="1"/>
    </xf>
    <xf numFmtId="165" fontId="7" fillId="7" borderId="1" xfId="0" applyNumberFormat="1" applyFont="1" applyFill="1" applyBorder="1" applyAlignment="1">
      <alignment horizontal="right" vertical="center" wrapText="1"/>
    </xf>
    <xf numFmtId="0" fontId="2" fillId="3" borderId="0" xfId="0" applyFont="1" applyFill="1" applyAlignment="1">
      <alignment horizontal="left" vertical="center" indent="1"/>
    </xf>
    <xf numFmtId="0" fontId="0" fillId="0" borderId="0" xfId="0"/>
    <xf numFmtId="0" fontId="4" fillId="4" borderId="0" xfId="0" applyFont="1" applyFill="1" applyAlignment="1">
      <alignment horizontal="left" vertical="top" wrapText="1"/>
    </xf>
    <xf numFmtId="0" fontId="1" fillId="2" borderId="0" xfId="0" applyFont="1" applyFill="1" applyAlignment="1">
      <alignment horizontal="left" vertical="center" indent="1"/>
    </xf>
    <xf numFmtId="0" fontId="3" fillId="0" borderId="0" xfId="0" applyFont="1"/>
    <xf numFmtId="0" fontId="4" fillId="0" borderId="0" xfId="0" applyFont="1"/>
    <xf numFmtId="0" fontId="0" fillId="0" borderId="0" xfId="0" applyAlignment="1">
      <alignment horizontal="center"/>
    </xf>
    <xf numFmtId="164" fontId="7" fillId="7" borderId="1" xfId="0" applyNumberFormat="1" applyFont="1" applyFill="1" applyBorder="1" applyAlignment="1">
      <alignment horizontal="center" vertical="center" wrapText="1"/>
    </xf>
    <xf numFmtId="164" fontId="7" fillId="6"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Operational Fraud Cost per 1,000 Transfers in PHP (Lower is Better)</a:t>
            </a:r>
          </a:p>
        </c:rich>
      </c:tx>
      <c:overlay val="1"/>
    </c:title>
    <c:autoTitleDeleted val="0"/>
    <c:plotArea>
      <c:layout/>
      <c:barChart>
        <c:barDir val="col"/>
        <c:grouping val="clustered"/>
        <c:varyColors val="1"/>
        <c:ser>
          <c:idx val="0"/>
          <c:order val="0"/>
          <c:tx>
            <c:strRef>
              <c:f>'Quantitative Benchmark'!$H$5</c:f>
              <c:strCache>
                <c:ptCount val="1"/>
                <c:pt idx="0">
                  <c:v>Expected Cost / 1k Tx (PHP)</c:v>
                </c:pt>
              </c:strCache>
            </c:strRef>
          </c:tx>
          <c:spPr>
            <a:ln>
              <a:prstDash val="solid"/>
            </a:ln>
          </c:spPr>
          <c:invertIfNegative val="1"/>
          <c:cat>
            <c:strRef>
              <c:f>'Quantitative Benchmark'!$A$6:$A$10</c:f>
              <c:strCache>
                <c:ptCount val="5"/>
                <c:pt idx="0">
                  <c:v>S1 (Rules)</c:v>
                </c:pt>
                <c:pt idx="1">
                  <c:v>S2 (XGBoost)</c:v>
                </c:pt>
                <c:pt idx="2">
                  <c:v>S3 (XGB+TF-IDF)</c:v>
                </c:pt>
                <c:pt idx="3">
                  <c:v>S4 (Hybrid S2+NanoJev)</c:v>
                </c:pt>
                <c:pt idx="4">
                  <c:v>S5 (NLP Only)</c:v>
                </c:pt>
              </c:strCache>
            </c:strRef>
          </c:cat>
          <c:val>
            <c:numRef>
              <c:f>'Quantitative Benchmark'!$H$6:$H$10</c:f>
              <c:numCache>
                <c:formatCode>#,##0.00</c:formatCode>
                <c:ptCount val="5"/>
                <c:pt idx="0">
                  <c:v>507034.53</c:v>
                </c:pt>
                <c:pt idx="1">
                  <c:v>89696.37</c:v>
                </c:pt>
                <c:pt idx="2">
                  <c:v>89696.37</c:v>
                </c:pt>
                <c:pt idx="3">
                  <c:v>56546.080000000002</c:v>
                </c:pt>
                <c:pt idx="4">
                  <c:v>911534.71</c:v>
                </c:pt>
              </c:numCache>
            </c:numRef>
          </c:val>
          <c:extLst>
            <c:ext xmlns:c16="http://schemas.microsoft.com/office/drawing/2014/chart" uri="{C3380CC4-5D6E-409C-BE32-E72D297353CC}">
              <c16:uniqueId val="{00000000-1C07-4138-A5CF-30CCC5AC94EB}"/>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System Architecture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Cost (PHP)</a:t>
                </a:r>
              </a:p>
            </c:rich>
          </c:tx>
          <c:overlay val="1"/>
        </c:title>
        <c:numFmt formatCode="#,##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1"/>
  <c:chart>
    <c:title>
      <c:tx>
        <c:rich>
          <a:bodyPr/>
          <a:lstStyle/>
          <a:p>
            <a:pPr>
              <a:defRPr/>
            </a:pPr>
            <a:r>
              <a:rPr lang="en-US"/>
              <a:t>Missed Fraud Rate % (Lower is Better)</a:t>
            </a:r>
          </a:p>
        </c:rich>
      </c:tx>
      <c:overlay val="1"/>
    </c:title>
    <c:autoTitleDeleted val="0"/>
    <c:plotArea>
      <c:layout/>
      <c:barChart>
        <c:barDir val="col"/>
        <c:grouping val="clustered"/>
        <c:varyColors val="1"/>
        <c:ser>
          <c:idx val="0"/>
          <c:order val="0"/>
          <c:tx>
            <c:strRef>
              <c:f>'Quantitative Benchmark'!$G$5</c:f>
              <c:strCache>
                <c:ptCount val="1"/>
                <c:pt idx="0">
                  <c:v>Missed Fraud Rate</c:v>
                </c:pt>
              </c:strCache>
            </c:strRef>
          </c:tx>
          <c:spPr>
            <a:ln>
              <a:prstDash val="solid"/>
            </a:ln>
          </c:spPr>
          <c:invertIfNegative val="1"/>
          <c:cat>
            <c:strRef>
              <c:f>'Quantitative Benchmark'!$A$6:$A$10</c:f>
              <c:strCache>
                <c:ptCount val="5"/>
                <c:pt idx="0">
                  <c:v>S1 (Rules)</c:v>
                </c:pt>
                <c:pt idx="1">
                  <c:v>S2 (XGBoost)</c:v>
                </c:pt>
                <c:pt idx="2">
                  <c:v>S3 (XGB+TF-IDF)</c:v>
                </c:pt>
                <c:pt idx="3">
                  <c:v>S4 (Hybrid S2+NanoJev)</c:v>
                </c:pt>
                <c:pt idx="4">
                  <c:v>S5 (NLP Only)</c:v>
                </c:pt>
              </c:strCache>
            </c:strRef>
          </c:cat>
          <c:val>
            <c:numRef>
              <c:f>'Quantitative Benchmark'!$G$6:$G$10</c:f>
              <c:numCache>
                <c:formatCode>0.00%</c:formatCode>
                <c:ptCount val="5"/>
                <c:pt idx="0">
                  <c:v>0.26669999999999999</c:v>
                </c:pt>
                <c:pt idx="1">
                  <c:v>4.4400000000000002E-2</c:v>
                </c:pt>
                <c:pt idx="2">
                  <c:v>4.4400000000000002E-2</c:v>
                </c:pt>
                <c:pt idx="3">
                  <c:v>2.2200000000000001E-2</c:v>
                </c:pt>
                <c:pt idx="4">
                  <c:v>0.4</c:v>
                </c:pt>
              </c:numCache>
            </c:numRef>
          </c:val>
          <c:extLst>
            <c:ext xmlns:c16="http://schemas.microsoft.com/office/drawing/2014/chart" uri="{C3380CC4-5D6E-409C-BE32-E72D297353CC}">
              <c16:uniqueId val="{00000000-2E6A-4FA7-A1AA-691E0AAEB40D}"/>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System Architecture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Missed Fraud Rate</a:t>
                </a:r>
              </a:p>
            </c:rich>
          </c:tx>
          <c:overlay val="1"/>
        </c:title>
        <c:numFmt formatCode="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rPr lang="en-US"/>
              <a:t>Top Predictive Features by Mean Absolute SHAP Value</a:t>
            </a:r>
          </a:p>
        </c:rich>
      </c:tx>
      <c:overlay val="1"/>
    </c:title>
    <c:autoTitleDeleted val="0"/>
    <c:plotArea>
      <c:layout/>
      <c:barChart>
        <c:barDir val="bar"/>
        <c:grouping val="clustered"/>
        <c:varyColors val="1"/>
        <c:ser>
          <c:idx val="0"/>
          <c:order val="0"/>
          <c:tx>
            <c:strRef>
              <c:f>'TreeSHAP Telemetry Ranking'!$C$5</c:f>
              <c:strCache>
                <c:ptCount val="1"/>
                <c:pt idx="0">
                  <c:v>Mean |SHAP| Value</c:v>
                </c:pt>
              </c:strCache>
            </c:strRef>
          </c:tx>
          <c:spPr>
            <a:ln>
              <a:prstDash val="solid"/>
            </a:ln>
          </c:spPr>
          <c:invertIfNegative val="1"/>
          <c:cat>
            <c:strRef>
              <c:f>'TreeSHAP Telemetry Ranking'!$B$6:$B$15</c:f>
              <c:strCache>
                <c:ptCount val="10"/>
                <c:pt idx="0">
                  <c:v>os_patch_age_days</c:v>
                </c:pt>
                <c:pt idx="1">
                  <c:v>balance_drain_ratio</c:v>
                </c:pt>
                <c:pt idx="2">
                  <c:v>payee_age_days</c:v>
                </c:pt>
                <c:pt idx="3">
                  <c:v>form_seconds</c:v>
                </c:pt>
                <c:pt idx="4">
                  <c:v>payees_24h</c:v>
                </c:pt>
                <c:pt idx="5">
                  <c:v>spike_ratio</c:v>
                </c:pt>
                <c:pt idx="6">
                  <c:v>dow</c:v>
                </c:pt>
                <c:pt idx="7">
                  <c:v>credential_change_hours_ago</c:v>
                </c:pt>
                <c:pt idx="8">
                  <c:v>seconds_since_login</c:v>
                </c:pt>
                <c:pt idx="9">
                  <c:v>velocity_kmh</c:v>
                </c:pt>
              </c:strCache>
            </c:strRef>
          </c:cat>
          <c:val>
            <c:numRef>
              <c:f>'TreeSHAP Telemetry Ranking'!$C$6:$C$15</c:f>
              <c:numCache>
                <c:formatCode>0.0000</c:formatCode>
                <c:ptCount val="10"/>
                <c:pt idx="0">
                  <c:v>1.5049999999999999</c:v>
                </c:pt>
                <c:pt idx="1">
                  <c:v>0.4622</c:v>
                </c:pt>
                <c:pt idx="2">
                  <c:v>0.37209999999999999</c:v>
                </c:pt>
                <c:pt idx="3">
                  <c:v>0.32990000000000003</c:v>
                </c:pt>
                <c:pt idx="4">
                  <c:v>0.31630000000000003</c:v>
                </c:pt>
                <c:pt idx="5">
                  <c:v>0.29659999999999997</c:v>
                </c:pt>
                <c:pt idx="6">
                  <c:v>0.2863</c:v>
                </c:pt>
                <c:pt idx="7">
                  <c:v>0.26100000000000001</c:v>
                </c:pt>
                <c:pt idx="8">
                  <c:v>0.2606</c:v>
                </c:pt>
                <c:pt idx="9">
                  <c:v>0.2167</c:v>
                </c:pt>
              </c:numCache>
            </c:numRef>
          </c:val>
          <c:extLst>
            <c:ext xmlns:c16="http://schemas.microsoft.com/office/drawing/2014/chart" uri="{C3380CC4-5D6E-409C-BE32-E72D297353CC}">
              <c16:uniqueId val="{00000000-DCF8-4079-A9D7-E60C00995A8C}"/>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US"/>
                  <a:t>Mean |SHAP| Value</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US"/>
                  <a:t>Feature Name</a:t>
                </a:r>
              </a:p>
            </c:rich>
          </c:tx>
          <c:overlay val="1"/>
        </c:title>
        <c:numFmt formatCode="0.0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Engine Decision Volume (100 Transactions)</a:t>
            </a:r>
          </a:p>
        </c:rich>
      </c:tx>
      <c:overlay val="1"/>
    </c:title>
    <c:autoTitleDeleted val="0"/>
    <c:plotArea>
      <c:layout/>
      <c:barChart>
        <c:barDir val="col"/>
        <c:grouping val="clustered"/>
        <c:varyColors val="1"/>
        <c:ser>
          <c:idx val="0"/>
          <c:order val="0"/>
          <c:tx>
            <c:strRef>
              <c:f>'Operational Analytics &amp; KPIs'!$B$17</c:f>
              <c:strCache>
                <c:ptCount val="1"/>
                <c:pt idx="0">
                  <c:v>Tx Count</c:v>
                </c:pt>
              </c:strCache>
            </c:strRef>
          </c:tx>
          <c:spPr>
            <a:ln>
              <a:prstDash val="solid"/>
            </a:ln>
          </c:spPr>
          <c:invertIfNegative val="1"/>
          <c:cat>
            <c:strRef>
              <c:f>'Operational Analytics &amp; KPIs'!$A$18:$A$20</c:f>
              <c:strCache>
                <c:ptCount val="3"/>
                <c:pt idx="0">
                  <c:v>ALLOW (Fast-Path Biometric)</c:v>
                </c:pt>
                <c:pt idx="1">
                  <c:v>ADVISORY_WARNING (Cognitive Friction)</c:v>
                </c:pt>
                <c:pt idx="2">
                  <c:v>BLOCK (Hard Stop)</c:v>
                </c:pt>
              </c:strCache>
            </c:strRef>
          </c:cat>
          <c:val>
            <c:numRef>
              <c:f>'Operational Analytics &amp; KPIs'!$B$18:$B$20</c:f>
              <c:numCache>
                <c:formatCode>General</c:formatCode>
                <c:ptCount val="3"/>
                <c:pt idx="0">
                  <c:v>42</c:v>
                </c:pt>
                <c:pt idx="1">
                  <c:v>31</c:v>
                </c:pt>
                <c:pt idx="2">
                  <c:v>27</c:v>
                </c:pt>
              </c:numCache>
            </c:numRef>
          </c:val>
          <c:extLst>
            <c:ext xmlns:c16="http://schemas.microsoft.com/office/drawing/2014/chart" uri="{C3380CC4-5D6E-409C-BE32-E72D297353CC}">
              <c16:uniqueId val="{00000000-CE88-45B1-9B0D-A4636D090926}"/>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t>Decision Tier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Transaction Count</a:t>
                </a:r>
              </a:p>
            </c:rich>
          </c:tx>
          <c:overlay val="1"/>
        </c:title>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2"/>
  <c:chart>
    <c:title>
      <c:tx>
        <c:rich>
          <a:bodyPr/>
          <a:lstStyle/>
          <a:p>
            <a:pPr>
              <a:defRPr/>
            </a:pPr>
            <a:r>
              <a:t>Customer Save Rate % by Scam Typology</a:t>
            </a:r>
          </a:p>
        </c:rich>
      </c:tx>
      <c:overlay val="1"/>
    </c:title>
    <c:autoTitleDeleted val="0"/>
    <c:plotArea>
      <c:layout/>
      <c:barChart>
        <c:barDir val="col"/>
        <c:grouping val="clustered"/>
        <c:varyColors val="1"/>
        <c:ser>
          <c:idx val="0"/>
          <c:order val="0"/>
          <c:tx>
            <c:strRef>
              <c:f>'Operational Analytics &amp; KPIs'!$D$32</c:f>
              <c:strCache>
                <c:ptCount val="1"/>
                <c:pt idx="0">
                  <c:v>Customer Save Rate</c:v>
                </c:pt>
              </c:strCache>
            </c:strRef>
          </c:tx>
          <c:spPr>
            <a:ln>
              <a:prstDash val="solid"/>
            </a:ln>
          </c:spPr>
          <c:invertIfNegative val="1"/>
          <c:cat>
            <c:strRef>
              <c:f>'Operational Analytics &amp; KPIs'!$A$33:$A$36</c:f>
              <c:strCache>
                <c:ptCount val="4"/>
                <c:pt idx="0">
                  <c:v>Remote-Access Malware (AnyDesk, TeamViewer)</c:v>
                </c:pt>
                <c:pt idx="1">
                  <c:v>Live Phone Call Coercion (Active Voice Call)</c:v>
                </c:pt>
                <c:pt idx="2">
                  <c:v>Purpose Mismatch / Impersonation Scam</c:v>
                </c:pt>
                <c:pt idx="3">
                  <c:v>Clipboard Paste from External App (Telegram/FB)</c:v>
                </c:pt>
              </c:strCache>
            </c:strRef>
          </c:cat>
          <c:val>
            <c:numRef>
              <c:f>'Operational Analytics &amp; KPIs'!$D$33:$D$36</c:f>
              <c:numCache>
                <c:formatCode>0.0%</c:formatCode>
                <c:ptCount val="4"/>
                <c:pt idx="0">
                  <c:v>0.82399999999999995</c:v>
                </c:pt>
                <c:pt idx="1">
                  <c:v>0.76200000000000001</c:v>
                </c:pt>
                <c:pt idx="2">
                  <c:v>0.68</c:v>
                </c:pt>
                <c:pt idx="3">
                  <c:v>0.64300000000000002</c:v>
                </c:pt>
              </c:numCache>
            </c:numRef>
          </c:val>
          <c:extLst>
            <c:ext xmlns:c16="http://schemas.microsoft.com/office/drawing/2014/chart" uri="{C3380CC4-5D6E-409C-BE32-E72D297353CC}">
              <c16:uniqueId val="{00000000-F673-4A76-97CD-FE7009EAFE18}"/>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t>Scam Typology</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Customer Save Rate</a:t>
                </a:r>
              </a:p>
            </c:rich>
          </c:tx>
          <c:overlay val="1"/>
        </c:title>
        <c:numFmt formatCode="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9</xdr:col>
      <xdr:colOff>0</xdr:colOff>
      <xdr:row>3</xdr:row>
      <xdr:rowOff>0</xdr:rowOff>
    </xdr:from>
    <xdr:ext cx="6480000" cy="432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19</xdr:row>
      <xdr:rowOff>0</xdr:rowOff>
    </xdr:from>
    <xdr:ext cx="6480000" cy="43200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7</xdr:col>
      <xdr:colOff>0</xdr:colOff>
      <xdr:row>3</xdr:row>
      <xdr:rowOff>0</xdr:rowOff>
    </xdr:from>
    <xdr:ext cx="6480000" cy="504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7</xdr:col>
      <xdr:colOff>0</xdr:colOff>
      <xdr:row>14</xdr:row>
      <xdr:rowOff>0</xdr:rowOff>
    </xdr:from>
    <xdr:ext cx="5760000" cy="360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27</xdr:row>
      <xdr:rowOff>0</xdr:rowOff>
    </xdr:from>
    <xdr:ext cx="5760000" cy="3600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topLeftCell="D17" zoomScale="88" workbookViewId="0">
      <selection activeCell="A4" sqref="A4:F4"/>
    </sheetView>
  </sheetViews>
  <sheetFormatPr defaultRowHeight="14.5" x14ac:dyDescent="0.35"/>
  <cols>
    <col min="1" max="1" width="45" customWidth="1"/>
    <col min="2" max="2" width="23" customWidth="1"/>
    <col min="3" max="6" width="45" customWidth="1"/>
  </cols>
  <sheetData>
    <row r="1" spans="1:6" ht="32" customHeight="1" x14ac:dyDescent="0.35">
      <c r="A1" s="39" t="s">
        <v>0</v>
      </c>
      <c r="B1" s="37"/>
      <c r="C1" s="37"/>
      <c r="D1" s="37"/>
      <c r="E1" s="37"/>
      <c r="F1" s="37"/>
    </row>
    <row r="2" spans="1:6" ht="24" customHeight="1" x14ac:dyDescent="0.35">
      <c r="A2" s="36" t="s">
        <v>1</v>
      </c>
      <c r="B2" s="37"/>
      <c r="C2" s="37"/>
      <c r="D2" s="37"/>
      <c r="E2" s="37"/>
      <c r="F2" s="37"/>
    </row>
    <row r="4" spans="1:6" ht="24" customHeight="1" x14ac:dyDescent="0.45">
      <c r="A4" s="40" t="s">
        <v>2</v>
      </c>
      <c r="B4" s="37"/>
      <c r="C4" s="37"/>
      <c r="D4" s="37"/>
      <c r="E4" s="37"/>
      <c r="F4" s="37"/>
    </row>
    <row r="5" spans="1:6" ht="28" customHeight="1" x14ac:dyDescent="0.35">
      <c r="A5" s="38" t="s">
        <v>3</v>
      </c>
      <c r="B5" s="37"/>
      <c r="C5" s="37"/>
      <c r="D5" s="37"/>
      <c r="E5" s="37"/>
      <c r="F5" s="37"/>
    </row>
    <row r="6" spans="1:6" ht="28" customHeight="1" x14ac:dyDescent="0.35">
      <c r="A6" s="37"/>
      <c r="B6" s="37"/>
      <c r="C6" s="37"/>
      <c r="D6" s="37"/>
      <c r="E6" s="37"/>
      <c r="F6" s="37"/>
    </row>
    <row r="7" spans="1:6" ht="28" customHeight="1" x14ac:dyDescent="0.35">
      <c r="A7" s="37"/>
      <c r="B7" s="37"/>
      <c r="C7" s="37"/>
      <c r="D7" s="37"/>
      <c r="E7" s="37"/>
      <c r="F7" s="37"/>
    </row>
    <row r="9" spans="1:6" ht="24" customHeight="1" x14ac:dyDescent="0.45">
      <c r="A9" s="40" t="s">
        <v>4</v>
      </c>
      <c r="B9" s="37"/>
      <c r="C9" s="37"/>
      <c r="D9" s="37"/>
      <c r="E9" s="37"/>
      <c r="F9" s="37"/>
    </row>
    <row r="10" spans="1:6" ht="26" customHeight="1" x14ac:dyDescent="0.35">
      <c r="A10" s="1" t="s">
        <v>5</v>
      </c>
      <c r="B10" s="1" t="s">
        <v>6</v>
      </c>
      <c r="C10" s="1" t="s">
        <v>7</v>
      </c>
      <c r="D10" s="1" t="s">
        <v>8</v>
      </c>
      <c r="E10" s="1" t="s">
        <v>9</v>
      </c>
      <c r="F10" s="1" t="s">
        <v>10</v>
      </c>
    </row>
    <row r="11" spans="1:6" ht="42" customHeight="1" x14ac:dyDescent="0.35">
      <c r="A11" s="2" t="s">
        <v>11</v>
      </c>
      <c r="B11" s="3" t="s">
        <v>12</v>
      </c>
      <c r="C11" s="3" t="s">
        <v>13</v>
      </c>
      <c r="D11" s="3" t="s">
        <v>14</v>
      </c>
      <c r="E11" s="3" t="s">
        <v>15</v>
      </c>
      <c r="F11" s="3" t="s">
        <v>16</v>
      </c>
    </row>
    <row r="12" spans="1:6" ht="42" customHeight="1" x14ac:dyDescent="0.35">
      <c r="A12" s="2" t="s">
        <v>17</v>
      </c>
      <c r="B12" s="3" t="s">
        <v>18</v>
      </c>
      <c r="C12" s="3" t="s">
        <v>19</v>
      </c>
      <c r="D12" s="3" t="s">
        <v>20</v>
      </c>
      <c r="E12" s="3" t="s">
        <v>21</v>
      </c>
      <c r="F12" s="3" t="s">
        <v>22</v>
      </c>
    </row>
    <row r="13" spans="1:6" ht="42" customHeight="1" x14ac:dyDescent="0.35">
      <c r="A13" s="4" t="s">
        <v>23</v>
      </c>
      <c r="B13" s="5" t="s">
        <v>24</v>
      </c>
      <c r="C13" s="5" t="s">
        <v>25</v>
      </c>
      <c r="D13" s="5" t="s">
        <v>26</v>
      </c>
      <c r="E13" s="5" t="s">
        <v>27</v>
      </c>
      <c r="F13" s="5" t="s">
        <v>28</v>
      </c>
    </row>
    <row r="15" spans="1:6" ht="24" customHeight="1" x14ac:dyDescent="0.45">
      <c r="A15" s="40" t="s">
        <v>29</v>
      </c>
      <c r="B15" s="37"/>
      <c r="C15" s="37"/>
      <c r="D15" s="37"/>
      <c r="E15" s="37"/>
      <c r="F15" s="37"/>
    </row>
    <row r="16" spans="1:6" ht="26" customHeight="1" x14ac:dyDescent="0.35">
      <c r="A16" s="1" t="s">
        <v>30</v>
      </c>
      <c r="B16" s="1" t="s">
        <v>31</v>
      </c>
      <c r="C16" s="1" t="s">
        <v>32</v>
      </c>
      <c r="D16" s="1" t="s">
        <v>33</v>
      </c>
      <c r="E16" s="1" t="s">
        <v>34</v>
      </c>
      <c r="F16" s="1" t="s">
        <v>35</v>
      </c>
    </row>
    <row r="17" spans="1:6" ht="25" customHeight="1" x14ac:dyDescent="0.35">
      <c r="A17" s="2" t="s">
        <v>36</v>
      </c>
      <c r="B17" s="6" t="s">
        <v>37</v>
      </c>
      <c r="C17" s="6" t="s">
        <v>38</v>
      </c>
      <c r="D17" s="7" t="s">
        <v>39</v>
      </c>
      <c r="E17" s="8" t="s">
        <v>40</v>
      </c>
      <c r="F17" s="3" t="s">
        <v>41</v>
      </c>
    </row>
    <row r="18" spans="1:6" ht="25" customHeight="1" x14ac:dyDescent="0.35">
      <c r="A18" s="2" t="s">
        <v>42</v>
      </c>
      <c r="B18" s="6" t="s">
        <v>43</v>
      </c>
      <c r="C18" s="6" t="s">
        <v>44</v>
      </c>
      <c r="D18" s="7" t="s">
        <v>45</v>
      </c>
      <c r="E18" s="8" t="s">
        <v>46</v>
      </c>
      <c r="F18" s="3" t="s">
        <v>47</v>
      </c>
    </row>
    <row r="19" spans="1:6" ht="25" customHeight="1" x14ac:dyDescent="0.35">
      <c r="A19" s="2" t="s">
        <v>48</v>
      </c>
      <c r="B19" s="6" t="s">
        <v>49</v>
      </c>
      <c r="C19" s="6" t="s">
        <v>45</v>
      </c>
      <c r="D19" s="7" t="s">
        <v>50</v>
      </c>
      <c r="E19" s="8" t="s">
        <v>51</v>
      </c>
      <c r="F19" s="3" t="s">
        <v>52</v>
      </c>
    </row>
    <row r="20" spans="1:6" ht="25" customHeight="1" x14ac:dyDescent="0.35">
      <c r="A20" s="2" t="s">
        <v>53</v>
      </c>
      <c r="B20" s="6" t="s">
        <v>54</v>
      </c>
      <c r="C20" s="6" t="s">
        <v>50</v>
      </c>
      <c r="D20" s="7" t="s">
        <v>50</v>
      </c>
      <c r="E20" s="8" t="s">
        <v>55</v>
      </c>
      <c r="F20" s="3" t="s">
        <v>56</v>
      </c>
    </row>
    <row r="21" spans="1:6" ht="25" customHeight="1" x14ac:dyDescent="0.35">
      <c r="A21" s="2" t="s">
        <v>57</v>
      </c>
      <c r="B21" s="6" t="s">
        <v>58</v>
      </c>
      <c r="C21" s="6" t="s">
        <v>58</v>
      </c>
      <c r="D21" s="7" t="s">
        <v>59</v>
      </c>
      <c r="E21" s="8" t="s">
        <v>60</v>
      </c>
      <c r="F21" s="3" t="s">
        <v>61</v>
      </c>
    </row>
    <row r="22" spans="1:6" ht="25" customHeight="1" x14ac:dyDescent="0.35">
      <c r="A22" s="2" t="s">
        <v>62</v>
      </c>
      <c r="B22" s="6" t="s">
        <v>63</v>
      </c>
      <c r="C22" s="6" t="s">
        <v>64</v>
      </c>
      <c r="D22" s="7" t="s">
        <v>65</v>
      </c>
      <c r="E22" s="8" t="s">
        <v>66</v>
      </c>
      <c r="F22" s="3" t="s">
        <v>67</v>
      </c>
    </row>
  </sheetData>
  <mergeCells count="6">
    <mergeCell ref="A15:F15"/>
    <mergeCell ref="A2:F2"/>
    <mergeCell ref="A5:F7"/>
    <mergeCell ref="A1:F1"/>
    <mergeCell ref="A9:F9"/>
    <mergeCell ref="A4:F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abSelected="1" zoomScale="77" workbookViewId="0">
      <selection sqref="A1:H1"/>
    </sheetView>
  </sheetViews>
  <sheetFormatPr defaultRowHeight="14.5" x14ac:dyDescent="0.35"/>
  <cols>
    <col min="1" max="2" width="45" customWidth="1"/>
    <col min="3" max="5" width="14" customWidth="1"/>
    <col min="6" max="6" width="19" customWidth="1"/>
    <col min="7" max="7" width="20" customWidth="1"/>
    <col min="8" max="8" width="30" customWidth="1"/>
  </cols>
  <sheetData>
    <row r="1" spans="1:8" ht="32" customHeight="1" x14ac:dyDescent="0.35">
      <c r="A1" s="39" t="s">
        <v>68</v>
      </c>
      <c r="B1" s="37"/>
      <c r="C1" s="37"/>
      <c r="D1" s="37"/>
      <c r="E1" s="37"/>
      <c r="F1" s="37"/>
      <c r="G1" s="37"/>
      <c r="H1" s="37"/>
    </row>
    <row r="2" spans="1:8" ht="24" customHeight="1" x14ac:dyDescent="0.35">
      <c r="A2" s="36" t="s">
        <v>69</v>
      </c>
      <c r="B2" s="37"/>
      <c r="C2" s="37"/>
      <c r="D2" s="37"/>
      <c r="E2" s="37"/>
      <c r="F2" s="37"/>
      <c r="G2" s="37"/>
      <c r="H2" s="37"/>
    </row>
    <row r="4" spans="1:8" ht="24" customHeight="1" x14ac:dyDescent="0.45">
      <c r="A4" s="40" t="s">
        <v>70</v>
      </c>
      <c r="B4" s="37"/>
      <c r="C4" s="37"/>
      <c r="D4" s="37"/>
      <c r="E4" s="37"/>
      <c r="F4" s="37"/>
      <c r="G4" s="37"/>
      <c r="H4" s="37"/>
    </row>
    <row r="5" spans="1:8" ht="26" customHeight="1" x14ac:dyDescent="0.35">
      <c r="A5" s="1" t="s">
        <v>71</v>
      </c>
      <c r="B5" s="1" t="s">
        <v>72</v>
      </c>
      <c r="C5" s="1" t="s">
        <v>73</v>
      </c>
      <c r="D5" s="1" t="s">
        <v>74</v>
      </c>
      <c r="E5" s="1" t="s">
        <v>75</v>
      </c>
      <c r="F5" s="1" t="s">
        <v>53</v>
      </c>
      <c r="G5" s="1" t="s">
        <v>76</v>
      </c>
      <c r="H5" s="1" t="s">
        <v>77</v>
      </c>
    </row>
    <row r="6" spans="1:8" ht="22" customHeight="1" x14ac:dyDescent="0.35">
      <c r="A6" s="9" t="s">
        <v>78</v>
      </c>
      <c r="B6" s="3" t="s">
        <v>79</v>
      </c>
      <c r="C6" s="10">
        <v>0.78410000000000002</v>
      </c>
      <c r="D6" s="10">
        <v>0.92049999999999998</v>
      </c>
      <c r="E6" s="10">
        <v>0.67430000000000001</v>
      </c>
      <c r="F6" s="11">
        <v>3.8999999999999998E-3</v>
      </c>
      <c r="G6" s="11">
        <v>0.26669999999999999</v>
      </c>
      <c r="H6" s="12">
        <v>507034.53</v>
      </c>
    </row>
    <row r="7" spans="1:8" ht="22" customHeight="1" x14ac:dyDescent="0.35">
      <c r="A7" s="9" t="s">
        <v>80</v>
      </c>
      <c r="B7" s="3" t="s">
        <v>81</v>
      </c>
      <c r="C7" s="10">
        <v>0.99860000000000004</v>
      </c>
      <c r="D7" s="10">
        <v>0.99970000000000003</v>
      </c>
      <c r="E7" s="10">
        <v>0.54139999999999999</v>
      </c>
      <c r="F7" s="11">
        <v>0</v>
      </c>
      <c r="G7" s="11">
        <v>4.4400000000000002E-2</v>
      </c>
      <c r="H7" s="12">
        <v>89696.37</v>
      </c>
    </row>
    <row r="8" spans="1:8" ht="22" customHeight="1" x14ac:dyDescent="0.35">
      <c r="A8" s="9" t="s">
        <v>82</v>
      </c>
      <c r="B8" s="3" t="s">
        <v>83</v>
      </c>
      <c r="C8" s="10">
        <v>0.99729999999999996</v>
      </c>
      <c r="D8" s="10">
        <v>0.99950000000000006</v>
      </c>
      <c r="E8" s="10">
        <v>0.54110000000000003</v>
      </c>
      <c r="F8" s="11">
        <v>0</v>
      </c>
      <c r="G8" s="11">
        <v>4.4400000000000002E-2</v>
      </c>
      <c r="H8" s="12">
        <v>89696.37</v>
      </c>
    </row>
    <row r="9" spans="1:8" ht="22" customHeight="1" x14ac:dyDescent="0.35">
      <c r="A9" s="13" t="s">
        <v>84</v>
      </c>
      <c r="B9" s="4" t="s">
        <v>85</v>
      </c>
      <c r="C9" s="14">
        <v>0.97709999999999997</v>
      </c>
      <c r="D9" s="14">
        <v>0.99109999999999998</v>
      </c>
      <c r="E9" s="14">
        <v>0.47749999999999998</v>
      </c>
      <c r="F9" s="15">
        <v>0</v>
      </c>
      <c r="G9" s="16">
        <v>2.2200000000000001E-2</v>
      </c>
      <c r="H9" s="17">
        <v>56546.080000000002</v>
      </c>
    </row>
    <row r="10" spans="1:8" ht="22" customHeight="1" x14ac:dyDescent="0.35">
      <c r="A10" s="9" t="s">
        <v>86</v>
      </c>
      <c r="B10" s="3" t="s">
        <v>87</v>
      </c>
      <c r="C10" s="10">
        <v>0.48430000000000001</v>
      </c>
      <c r="D10" s="10">
        <v>0.70960000000000001</v>
      </c>
      <c r="E10" s="10">
        <v>0.54169999999999996</v>
      </c>
      <c r="F10" s="11">
        <v>3.5299999999999998E-2</v>
      </c>
      <c r="G10" s="11">
        <v>0.4</v>
      </c>
      <c r="H10" s="12">
        <v>911534.71</v>
      </c>
    </row>
    <row r="13" spans="1:8" ht="24" customHeight="1" x14ac:dyDescent="0.45">
      <c r="A13" s="40" t="s">
        <v>88</v>
      </c>
      <c r="B13" s="37"/>
      <c r="C13" s="37"/>
      <c r="D13" s="37"/>
      <c r="E13" s="37"/>
      <c r="F13" s="37"/>
      <c r="G13" s="37"/>
      <c r="H13" s="37"/>
    </row>
    <row r="14" spans="1:8" ht="26" customHeight="1" x14ac:dyDescent="0.35">
      <c r="A14" s="1" t="s">
        <v>71</v>
      </c>
      <c r="B14" s="1" t="s">
        <v>72</v>
      </c>
      <c r="C14" s="1" t="s">
        <v>73</v>
      </c>
      <c r="D14" s="1" t="s">
        <v>74</v>
      </c>
      <c r="E14" s="1" t="s">
        <v>75</v>
      </c>
      <c r="F14" s="1" t="s">
        <v>53</v>
      </c>
      <c r="G14" s="1" t="s">
        <v>76</v>
      </c>
      <c r="H14" s="1" t="s">
        <v>77</v>
      </c>
    </row>
    <row r="15" spans="1:8" ht="22" customHeight="1" x14ac:dyDescent="0.35">
      <c r="A15" s="9" t="s">
        <v>78</v>
      </c>
      <c r="B15" s="3" t="s">
        <v>79</v>
      </c>
      <c r="C15" s="10">
        <v>0.75990000000000002</v>
      </c>
      <c r="D15" s="10">
        <v>0.91110000000000002</v>
      </c>
      <c r="E15" s="10">
        <v>0.59340000000000004</v>
      </c>
      <c r="F15" s="11">
        <v>0</v>
      </c>
      <c r="G15" s="11">
        <v>0.37780000000000002</v>
      </c>
      <c r="H15" s="12">
        <v>387081.6</v>
      </c>
    </row>
    <row r="16" spans="1:8" ht="22" customHeight="1" x14ac:dyDescent="0.35">
      <c r="A16" s="9" t="s">
        <v>80</v>
      </c>
      <c r="B16" s="3" t="s">
        <v>81</v>
      </c>
      <c r="C16" s="10">
        <v>0.99739999999999995</v>
      </c>
      <c r="D16" s="10">
        <v>0.99950000000000006</v>
      </c>
      <c r="E16" s="10">
        <v>0.45479999999999998</v>
      </c>
      <c r="F16" s="11">
        <v>0</v>
      </c>
      <c r="G16" s="11">
        <v>2.2200000000000001E-2</v>
      </c>
      <c r="H16" s="12">
        <v>28211.17</v>
      </c>
    </row>
    <row r="17" spans="1:8" ht="22" customHeight="1" x14ac:dyDescent="0.35">
      <c r="A17" s="9" t="s">
        <v>82</v>
      </c>
      <c r="B17" s="3" t="s">
        <v>83</v>
      </c>
      <c r="C17" s="10">
        <v>0.99950000000000006</v>
      </c>
      <c r="D17" s="10">
        <v>0.99990000000000001</v>
      </c>
      <c r="E17" s="10">
        <v>0.45479999999999998</v>
      </c>
      <c r="F17" s="11">
        <v>0</v>
      </c>
      <c r="G17" s="11">
        <v>2.2200000000000001E-2</v>
      </c>
      <c r="H17" s="12">
        <v>28211.17</v>
      </c>
    </row>
    <row r="18" spans="1:8" ht="22" customHeight="1" x14ac:dyDescent="0.35">
      <c r="A18" s="13" t="s">
        <v>84</v>
      </c>
      <c r="B18" s="4" t="s">
        <v>85</v>
      </c>
      <c r="C18" s="14">
        <v>0.99129999999999996</v>
      </c>
      <c r="D18" s="14">
        <v>0.99750000000000005</v>
      </c>
      <c r="E18" s="14">
        <v>0.40500000000000003</v>
      </c>
      <c r="F18" s="15">
        <v>0</v>
      </c>
      <c r="G18" s="16">
        <v>0</v>
      </c>
      <c r="H18" s="17">
        <v>27907.83</v>
      </c>
    </row>
    <row r="19" spans="1:8" ht="22" customHeight="1" x14ac:dyDescent="0.35">
      <c r="A19" s="9" t="s">
        <v>86</v>
      </c>
      <c r="B19" s="3" t="s">
        <v>87</v>
      </c>
      <c r="C19" s="10">
        <v>0.2752</v>
      </c>
      <c r="D19" s="10">
        <v>0.55010000000000003</v>
      </c>
      <c r="E19" s="10">
        <v>0.45750000000000002</v>
      </c>
      <c r="F19" s="11">
        <v>1.9599999999999999E-2</v>
      </c>
      <c r="G19" s="11">
        <v>0.66669999999999996</v>
      </c>
      <c r="H19" s="12">
        <v>1537087</v>
      </c>
    </row>
    <row r="22" spans="1:8" ht="24" customHeight="1" x14ac:dyDescent="0.45">
      <c r="A22" s="40" t="s">
        <v>89</v>
      </c>
      <c r="B22" s="37"/>
      <c r="C22" s="37"/>
      <c r="D22" s="37"/>
      <c r="E22" s="37"/>
      <c r="F22" s="37"/>
      <c r="G22" s="37"/>
      <c r="H22" s="37"/>
    </row>
    <row r="23" spans="1:8" ht="22" customHeight="1" x14ac:dyDescent="0.35">
      <c r="A23" s="18" t="s">
        <v>90</v>
      </c>
      <c r="B23" s="41" t="s">
        <v>91</v>
      </c>
      <c r="C23" s="37"/>
      <c r="D23" s="37"/>
      <c r="E23" s="37"/>
      <c r="F23" s="37"/>
      <c r="G23" s="37"/>
      <c r="H23" s="37"/>
    </row>
    <row r="24" spans="1:8" ht="22" customHeight="1" x14ac:dyDescent="0.35">
      <c r="A24" s="18" t="s">
        <v>92</v>
      </c>
      <c r="B24" s="41" t="s">
        <v>93</v>
      </c>
      <c r="C24" s="37"/>
      <c r="D24" s="37"/>
      <c r="E24" s="37"/>
      <c r="F24" s="37"/>
      <c r="G24" s="37"/>
      <c r="H24" s="37"/>
    </row>
    <row r="25" spans="1:8" ht="22" customHeight="1" x14ac:dyDescent="0.35">
      <c r="A25" s="18" t="s">
        <v>94</v>
      </c>
      <c r="B25" s="41" t="s">
        <v>95</v>
      </c>
      <c r="C25" s="37"/>
      <c r="D25" s="37"/>
      <c r="E25" s="37"/>
      <c r="F25" s="37"/>
      <c r="G25" s="37"/>
      <c r="H25" s="37"/>
    </row>
    <row r="26" spans="1:8" ht="22" customHeight="1" x14ac:dyDescent="0.35">
      <c r="A26" s="18" t="s">
        <v>96</v>
      </c>
      <c r="B26" s="41" t="s">
        <v>97</v>
      </c>
      <c r="C26" s="37"/>
      <c r="D26" s="37"/>
      <c r="E26" s="37"/>
      <c r="F26" s="37"/>
      <c r="G26" s="37"/>
      <c r="H26" s="37"/>
    </row>
  </sheetData>
  <mergeCells count="9">
    <mergeCell ref="A1:H1"/>
    <mergeCell ref="A22:H22"/>
    <mergeCell ref="B23:H23"/>
    <mergeCell ref="A4:H4"/>
    <mergeCell ref="B26:H26"/>
    <mergeCell ref="A2:H2"/>
    <mergeCell ref="B24:H24"/>
    <mergeCell ref="A13:H13"/>
    <mergeCell ref="B25:H25"/>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2"/>
  <sheetViews>
    <sheetView zoomScale="72" workbookViewId="0">
      <selection activeCell="F3" sqref="F1:F1048576"/>
    </sheetView>
  </sheetViews>
  <sheetFormatPr defaultRowHeight="14.5" x14ac:dyDescent="0.35"/>
  <cols>
    <col min="1" max="1" width="45" customWidth="1"/>
    <col min="2" max="2" width="30" style="42" customWidth="1"/>
    <col min="3" max="3" width="20" style="42" customWidth="1"/>
    <col min="4" max="4" width="24" style="42" customWidth="1"/>
    <col min="5" max="6" width="45" customWidth="1"/>
  </cols>
  <sheetData>
    <row r="1" spans="1:6" ht="32" customHeight="1" x14ac:dyDescent="0.35">
      <c r="A1" s="39" t="s">
        <v>98</v>
      </c>
      <c r="B1" s="37"/>
      <c r="C1" s="37"/>
      <c r="D1" s="37"/>
      <c r="E1" s="37"/>
      <c r="F1" s="37"/>
    </row>
    <row r="2" spans="1:6" ht="24" customHeight="1" x14ac:dyDescent="0.35">
      <c r="A2" s="36" t="s">
        <v>99</v>
      </c>
      <c r="B2" s="37"/>
      <c r="C2" s="37"/>
      <c r="D2" s="37"/>
      <c r="E2" s="37"/>
      <c r="F2" s="37"/>
    </row>
    <row r="4" spans="1:6" ht="24" customHeight="1" x14ac:dyDescent="0.45">
      <c r="A4" s="40" t="s">
        <v>100</v>
      </c>
      <c r="B4" s="37"/>
      <c r="C4" s="37"/>
      <c r="D4" s="37"/>
      <c r="E4" s="37"/>
      <c r="F4" s="37"/>
    </row>
    <row r="5" spans="1:6" ht="38.5" customHeight="1" x14ac:dyDescent="0.35">
      <c r="A5" s="1" t="s">
        <v>101</v>
      </c>
      <c r="B5" s="1" t="s">
        <v>102</v>
      </c>
      <c r="C5" s="1" t="s">
        <v>103</v>
      </c>
      <c r="D5" s="1" t="s">
        <v>104</v>
      </c>
      <c r="E5" s="1" t="s">
        <v>105</v>
      </c>
      <c r="F5" s="1" t="s">
        <v>106</v>
      </c>
    </row>
    <row r="6" spans="1:6" ht="38.5" customHeight="1" x14ac:dyDescent="0.35">
      <c r="A6" s="9">
        <v>1</v>
      </c>
      <c r="B6" s="9" t="s">
        <v>107</v>
      </c>
      <c r="C6" s="43">
        <v>1.5049999999999999</v>
      </c>
      <c r="D6" s="21" t="s">
        <v>108</v>
      </c>
      <c r="E6" s="3" t="s">
        <v>109</v>
      </c>
      <c r="F6" s="3" t="s">
        <v>110</v>
      </c>
    </row>
    <row r="7" spans="1:6" ht="38.5" customHeight="1" x14ac:dyDescent="0.35">
      <c r="A7" s="9">
        <v>2</v>
      </c>
      <c r="B7" s="9" t="s">
        <v>111</v>
      </c>
      <c r="C7" s="43">
        <v>0.4622</v>
      </c>
      <c r="D7" s="21" t="s">
        <v>112</v>
      </c>
      <c r="E7" s="3" t="s">
        <v>113</v>
      </c>
      <c r="F7" s="3" t="s">
        <v>114</v>
      </c>
    </row>
    <row r="8" spans="1:6" ht="38.5" customHeight="1" x14ac:dyDescent="0.35">
      <c r="A8" s="9">
        <v>3</v>
      </c>
      <c r="B8" s="9" t="s">
        <v>115</v>
      </c>
      <c r="C8" s="43">
        <v>0.37209999999999999</v>
      </c>
      <c r="D8" s="21" t="s">
        <v>116</v>
      </c>
      <c r="E8" s="3" t="s">
        <v>117</v>
      </c>
      <c r="F8" s="3" t="s">
        <v>118</v>
      </c>
    </row>
    <row r="9" spans="1:6" ht="38.5" customHeight="1" x14ac:dyDescent="0.35">
      <c r="A9" s="9">
        <v>4</v>
      </c>
      <c r="B9" s="9" t="s">
        <v>119</v>
      </c>
      <c r="C9" s="43">
        <v>0.32990000000000003</v>
      </c>
      <c r="D9" s="21" t="s">
        <v>120</v>
      </c>
      <c r="E9" s="3" t="s">
        <v>121</v>
      </c>
      <c r="F9" s="3" t="s">
        <v>122</v>
      </c>
    </row>
    <row r="10" spans="1:6" ht="38.5" customHeight="1" x14ac:dyDescent="0.35">
      <c r="A10" s="9">
        <v>5</v>
      </c>
      <c r="B10" s="9" t="s">
        <v>123</v>
      </c>
      <c r="C10" s="43">
        <v>0.31630000000000003</v>
      </c>
      <c r="D10" s="21" t="s">
        <v>124</v>
      </c>
      <c r="E10" s="3" t="s">
        <v>125</v>
      </c>
      <c r="F10" s="3" t="s">
        <v>126</v>
      </c>
    </row>
    <row r="11" spans="1:6" ht="38.5" customHeight="1" x14ac:dyDescent="0.35">
      <c r="A11" s="9">
        <v>6</v>
      </c>
      <c r="B11" s="9" t="s">
        <v>127</v>
      </c>
      <c r="C11" s="43">
        <v>0.29659999999999997</v>
      </c>
      <c r="D11" s="21" t="s">
        <v>128</v>
      </c>
      <c r="E11" s="3" t="s">
        <v>129</v>
      </c>
      <c r="F11" s="3" t="s">
        <v>130</v>
      </c>
    </row>
    <row r="12" spans="1:6" ht="38.5" customHeight="1" x14ac:dyDescent="0.35">
      <c r="A12" s="9">
        <v>7</v>
      </c>
      <c r="B12" s="9" t="s">
        <v>131</v>
      </c>
      <c r="C12" s="43">
        <v>0.2863</v>
      </c>
      <c r="D12" s="21" t="s">
        <v>132</v>
      </c>
      <c r="E12" s="3" t="s">
        <v>133</v>
      </c>
      <c r="F12" s="3" t="s">
        <v>134</v>
      </c>
    </row>
    <row r="13" spans="1:6" ht="38.5" customHeight="1" x14ac:dyDescent="0.35">
      <c r="A13" s="9">
        <v>8</v>
      </c>
      <c r="B13" s="9" t="s">
        <v>135</v>
      </c>
      <c r="C13" s="43">
        <v>0.26100000000000001</v>
      </c>
      <c r="D13" s="21" t="s">
        <v>136</v>
      </c>
      <c r="E13" s="3" t="s">
        <v>137</v>
      </c>
      <c r="F13" s="3" t="s">
        <v>138</v>
      </c>
    </row>
    <row r="14" spans="1:6" ht="38.5" customHeight="1" x14ac:dyDescent="0.35">
      <c r="A14" s="9">
        <v>9</v>
      </c>
      <c r="B14" s="9" t="s">
        <v>139</v>
      </c>
      <c r="C14" s="43">
        <v>0.2606</v>
      </c>
      <c r="D14" s="21" t="s">
        <v>140</v>
      </c>
      <c r="E14" s="3" t="s">
        <v>141</v>
      </c>
      <c r="F14" s="3" t="s">
        <v>142</v>
      </c>
    </row>
    <row r="15" spans="1:6" ht="38.5" customHeight="1" x14ac:dyDescent="0.35">
      <c r="A15" s="9">
        <v>10</v>
      </c>
      <c r="B15" s="9" t="s">
        <v>143</v>
      </c>
      <c r="C15" s="43">
        <v>0.2167</v>
      </c>
      <c r="D15" s="21" t="s">
        <v>144</v>
      </c>
      <c r="E15" s="3" t="s">
        <v>145</v>
      </c>
      <c r="F15" s="3" t="s">
        <v>146</v>
      </c>
    </row>
    <row r="18" spans="1:6" ht="24" customHeight="1" x14ac:dyDescent="0.45">
      <c r="A18" s="40" t="s">
        <v>147</v>
      </c>
      <c r="B18" s="37"/>
      <c r="C18" s="37"/>
      <c r="D18" s="37"/>
      <c r="E18" s="37"/>
      <c r="F18" s="37"/>
    </row>
    <row r="19" spans="1:6" ht="26" customHeight="1" x14ac:dyDescent="0.35">
      <c r="A19" s="1" t="s">
        <v>148</v>
      </c>
      <c r="B19" s="1" t="s">
        <v>149</v>
      </c>
      <c r="C19" s="1" t="s">
        <v>150</v>
      </c>
      <c r="D19" s="1" t="s">
        <v>151</v>
      </c>
      <c r="E19" s="1" t="s">
        <v>152</v>
      </c>
    </row>
    <row r="20" spans="1:6" ht="24" customHeight="1" x14ac:dyDescent="0.35">
      <c r="A20" s="2" t="s">
        <v>153</v>
      </c>
      <c r="B20" s="44">
        <v>0.98240000000000005</v>
      </c>
      <c r="C20" s="44">
        <v>0.96879999999999999</v>
      </c>
      <c r="D20" s="9" t="s">
        <v>154</v>
      </c>
      <c r="E20" s="8" t="s">
        <v>155</v>
      </c>
    </row>
    <row r="21" spans="1:6" ht="24" customHeight="1" x14ac:dyDescent="0.35">
      <c r="A21" s="2" t="s">
        <v>156</v>
      </c>
      <c r="B21" s="44">
        <v>0.96860000000000002</v>
      </c>
      <c r="C21" s="44">
        <v>0.96489999999999998</v>
      </c>
      <c r="D21" s="9" t="s">
        <v>157</v>
      </c>
      <c r="E21" s="19" t="s">
        <v>158</v>
      </c>
    </row>
    <row r="22" spans="1:6" ht="24" customHeight="1" x14ac:dyDescent="0.35">
      <c r="A22" s="2" t="s">
        <v>159</v>
      </c>
      <c r="B22" s="44">
        <v>0.98499999999999999</v>
      </c>
      <c r="C22" s="44">
        <v>0.96509999999999996</v>
      </c>
      <c r="D22" s="9" t="s">
        <v>160</v>
      </c>
      <c r="E22" s="19" t="s">
        <v>161</v>
      </c>
    </row>
  </sheetData>
  <mergeCells count="4">
    <mergeCell ref="A2:F2"/>
    <mergeCell ref="A1:F1"/>
    <mergeCell ref="A18:F18"/>
    <mergeCell ref="A4:F4"/>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
  <sheetViews>
    <sheetView zoomScale="58" workbookViewId="0">
      <selection sqref="A1:H1"/>
    </sheetView>
  </sheetViews>
  <sheetFormatPr defaultRowHeight="14.5" x14ac:dyDescent="0.35"/>
  <cols>
    <col min="1" max="1" width="45" customWidth="1"/>
    <col min="2" max="2" width="31" customWidth="1"/>
    <col min="3" max="5" width="45" customWidth="1"/>
    <col min="6" max="6" width="14" customWidth="1"/>
    <col min="7" max="7" width="45" customWidth="1"/>
    <col min="8" max="8" width="23" customWidth="1"/>
  </cols>
  <sheetData>
    <row r="1" spans="1:8" ht="32" customHeight="1" x14ac:dyDescent="0.35">
      <c r="A1" s="39" t="s">
        <v>162</v>
      </c>
      <c r="B1" s="37"/>
      <c r="C1" s="37"/>
      <c r="D1" s="37"/>
      <c r="E1" s="37"/>
      <c r="F1" s="37"/>
      <c r="G1" s="37"/>
      <c r="H1" s="37"/>
    </row>
    <row r="2" spans="1:8" ht="24" customHeight="1" x14ac:dyDescent="0.35">
      <c r="A2" s="36" t="s">
        <v>163</v>
      </c>
      <c r="B2" s="37"/>
      <c r="C2" s="37"/>
      <c r="D2" s="37"/>
      <c r="E2" s="37"/>
      <c r="F2" s="37"/>
      <c r="G2" s="37"/>
      <c r="H2" s="37"/>
    </row>
    <row r="4" spans="1:8" ht="24" customHeight="1" x14ac:dyDescent="0.45">
      <c r="A4" s="40" t="s">
        <v>164</v>
      </c>
      <c r="B4" s="37"/>
      <c r="C4" s="37"/>
      <c r="D4" s="37"/>
      <c r="E4" s="37"/>
      <c r="F4" s="37"/>
      <c r="G4" s="37"/>
      <c r="H4" s="37"/>
    </row>
    <row r="5" spans="1:8" ht="26" customHeight="1" x14ac:dyDescent="0.35">
      <c r="A5" s="1" t="s">
        <v>165</v>
      </c>
      <c r="B5" s="1" t="s">
        <v>166</v>
      </c>
      <c r="C5" s="1" t="s">
        <v>167</v>
      </c>
      <c r="D5" s="1" t="s">
        <v>168</v>
      </c>
      <c r="E5" s="1" t="s">
        <v>169</v>
      </c>
      <c r="F5" s="1" t="s">
        <v>170</v>
      </c>
      <c r="G5" s="1" t="s">
        <v>171</v>
      </c>
      <c r="H5" s="1" t="s">
        <v>172</v>
      </c>
    </row>
    <row r="6" spans="1:8" ht="54" customHeight="1" x14ac:dyDescent="0.35">
      <c r="A6" s="9" t="s">
        <v>173</v>
      </c>
      <c r="B6" s="20" t="s">
        <v>174</v>
      </c>
      <c r="C6" s="3" t="s">
        <v>175</v>
      </c>
      <c r="D6" s="2" t="s">
        <v>176</v>
      </c>
      <c r="E6" s="3" t="s">
        <v>177</v>
      </c>
      <c r="F6" s="21" t="s">
        <v>178</v>
      </c>
      <c r="G6" s="22" t="s">
        <v>179</v>
      </c>
      <c r="H6" s="23" t="s">
        <v>180</v>
      </c>
    </row>
    <row r="7" spans="1:8" ht="54" customHeight="1" x14ac:dyDescent="0.35">
      <c r="A7" s="9" t="s">
        <v>181</v>
      </c>
      <c r="B7" s="19" t="s">
        <v>182</v>
      </c>
      <c r="C7" s="3" t="s">
        <v>183</v>
      </c>
      <c r="D7" s="2" t="s">
        <v>184</v>
      </c>
      <c r="E7" s="3" t="s">
        <v>185</v>
      </c>
      <c r="F7" s="21" t="s">
        <v>178</v>
      </c>
      <c r="G7" s="22" t="s">
        <v>186</v>
      </c>
      <c r="H7" s="23" t="s">
        <v>187</v>
      </c>
    </row>
    <row r="8" spans="1:8" ht="54" customHeight="1" x14ac:dyDescent="0.35">
      <c r="A8" s="9" t="s">
        <v>188</v>
      </c>
      <c r="B8" s="19" t="s">
        <v>189</v>
      </c>
      <c r="C8" s="3" t="s">
        <v>190</v>
      </c>
      <c r="D8" s="2" t="s">
        <v>191</v>
      </c>
      <c r="E8" s="3" t="s">
        <v>192</v>
      </c>
      <c r="F8" s="21" t="s">
        <v>178</v>
      </c>
      <c r="G8" s="22" t="s">
        <v>193</v>
      </c>
      <c r="H8" s="23" t="s">
        <v>194</v>
      </c>
    </row>
    <row r="9" spans="1:8" ht="54" customHeight="1" x14ac:dyDescent="0.35">
      <c r="A9" s="9" t="s">
        <v>195</v>
      </c>
      <c r="B9" s="19" t="s">
        <v>196</v>
      </c>
      <c r="C9" s="3" t="s">
        <v>197</v>
      </c>
      <c r="D9" s="2" t="s">
        <v>198</v>
      </c>
      <c r="E9" s="3" t="s">
        <v>199</v>
      </c>
      <c r="F9" s="21" t="s">
        <v>178</v>
      </c>
      <c r="G9" s="22" t="s">
        <v>200</v>
      </c>
      <c r="H9" s="23" t="s">
        <v>201</v>
      </c>
    </row>
    <row r="10" spans="1:8" ht="54" customHeight="1" x14ac:dyDescent="0.35">
      <c r="A10" s="9" t="s">
        <v>202</v>
      </c>
      <c r="B10" s="19" t="s">
        <v>203</v>
      </c>
      <c r="C10" s="3" t="s">
        <v>204</v>
      </c>
      <c r="D10" s="2" t="s">
        <v>205</v>
      </c>
      <c r="E10" s="3" t="s">
        <v>206</v>
      </c>
      <c r="F10" s="21" t="s">
        <v>207</v>
      </c>
      <c r="G10" s="22" t="s">
        <v>208</v>
      </c>
      <c r="H10" s="23" t="s">
        <v>201</v>
      </c>
    </row>
    <row r="13" spans="1:8" ht="24" customHeight="1" x14ac:dyDescent="0.45">
      <c r="A13" s="40" t="s">
        <v>209</v>
      </c>
      <c r="B13" s="37"/>
      <c r="C13" s="37"/>
      <c r="D13" s="37"/>
      <c r="E13" s="37"/>
      <c r="F13" s="37"/>
      <c r="G13" s="37"/>
      <c r="H13" s="37"/>
    </row>
    <row r="14" spans="1:8" ht="26" customHeight="1" x14ac:dyDescent="0.35">
      <c r="A14" s="1" t="s">
        <v>210</v>
      </c>
      <c r="B14" s="1" t="s">
        <v>211</v>
      </c>
      <c r="C14" s="1" t="s">
        <v>212</v>
      </c>
      <c r="D14" s="1" t="s">
        <v>213</v>
      </c>
      <c r="E14" s="1" t="s">
        <v>214</v>
      </c>
    </row>
    <row r="15" spans="1:8" ht="28" customHeight="1" x14ac:dyDescent="0.35">
      <c r="A15" s="2" t="s">
        <v>215</v>
      </c>
      <c r="B15" s="9" t="s">
        <v>216</v>
      </c>
      <c r="C15" s="24" t="s">
        <v>217</v>
      </c>
      <c r="D15" s="3" t="s">
        <v>218</v>
      </c>
      <c r="E15" s="3" t="s">
        <v>219</v>
      </c>
    </row>
    <row r="16" spans="1:8" ht="28" customHeight="1" x14ac:dyDescent="0.35">
      <c r="A16" s="2" t="s">
        <v>220</v>
      </c>
      <c r="B16" s="9" t="s">
        <v>221</v>
      </c>
      <c r="C16" s="24" t="s">
        <v>222</v>
      </c>
      <c r="D16" s="3" t="s">
        <v>223</v>
      </c>
      <c r="E16" s="3" t="s">
        <v>224</v>
      </c>
    </row>
    <row r="17" spans="1:5" ht="28" customHeight="1" x14ac:dyDescent="0.35">
      <c r="A17" s="2" t="s">
        <v>225</v>
      </c>
      <c r="B17" s="9" t="s">
        <v>226</v>
      </c>
      <c r="C17" s="24" t="s">
        <v>227</v>
      </c>
      <c r="D17" s="3" t="s">
        <v>228</v>
      </c>
      <c r="E17" s="3" t="s">
        <v>229</v>
      </c>
    </row>
  </sheetData>
  <mergeCells count="4">
    <mergeCell ref="A4:H4"/>
    <mergeCell ref="A13:H13"/>
    <mergeCell ref="A2:H2"/>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6"/>
  <sheetViews>
    <sheetView zoomScale="67" workbookViewId="0">
      <selection sqref="A1:G1"/>
    </sheetView>
  </sheetViews>
  <sheetFormatPr defaultRowHeight="14.5" x14ac:dyDescent="0.35"/>
  <cols>
    <col min="1" max="5" width="45" customWidth="1"/>
    <col min="6" max="6" width="22" customWidth="1"/>
    <col min="7" max="7" width="45" customWidth="1"/>
  </cols>
  <sheetData>
    <row r="1" spans="1:7" ht="32" customHeight="1" x14ac:dyDescent="0.35">
      <c r="A1" s="39" t="s">
        <v>230</v>
      </c>
      <c r="B1" s="37"/>
      <c r="C1" s="37"/>
      <c r="D1" s="37"/>
      <c r="E1" s="37"/>
      <c r="F1" s="37"/>
      <c r="G1" s="37"/>
    </row>
    <row r="2" spans="1:7" ht="24" customHeight="1" x14ac:dyDescent="0.35">
      <c r="A2" s="36" t="s">
        <v>231</v>
      </c>
      <c r="B2" s="37"/>
      <c r="C2" s="37"/>
      <c r="D2" s="37"/>
      <c r="E2" s="37"/>
      <c r="F2" s="37"/>
      <c r="G2" s="37"/>
    </row>
    <row r="4" spans="1:7" ht="24" customHeight="1" x14ac:dyDescent="0.45">
      <c r="A4" s="40" t="s">
        <v>232</v>
      </c>
      <c r="B4" s="37"/>
      <c r="C4" s="37"/>
      <c r="D4" s="37"/>
      <c r="E4" s="37"/>
      <c r="F4" s="37"/>
      <c r="G4" s="37"/>
    </row>
    <row r="5" spans="1:7" ht="26" customHeight="1" x14ac:dyDescent="0.35">
      <c r="A5" s="1" t="s">
        <v>233</v>
      </c>
      <c r="B5" s="1" t="s">
        <v>234</v>
      </c>
      <c r="C5" s="1" t="s">
        <v>235</v>
      </c>
      <c r="D5" s="1" t="s">
        <v>236</v>
      </c>
      <c r="E5" s="1" t="s">
        <v>237</v>
      </c>
    </row>
    <row r="6" spans="1:7" ht="26" customHeight="1" x14ac:dyDescent="0.35">
      <c r="A6" s="2" t="s">
        <v>238</v>
      </c>
      <c r="B6" s="5" t="s">
        <v>239</v>
      </c>
      <c r="C6" s="3" t="s">
        <v>240</v>
      </c>
      <c r="D6" s="3" t="s">
        <v>241</v>
      </c>
      <c r="E6" s="8" t="s">
        <v>242</v>
      </c>
    </row>
    <row r="7" spans="1:7" ht="26" customHeight="1" x14ac:dyDescent="0.35">
      <c r="A7" s="2" t="s">
        <v>243</v>
      </c>
      <c r="B7" s="5" t="s">
        <v>244</v>
      </c>
      <c r="C7" s="3" t="s">
        <v>245</v>
      </c>
      <c r="D7" s="3" t="s">
        <v>246</v>
      </c>
      <c r="E7" s="8" t="s">
        <v>247</v>
      </c>
    </row>
    <row r="8" spans="1:7" ht="26" customHeight="1" x14ac:dyDescent="0.35">
      <c r="A8" s="2" t="s">
        <v>248</v>
      </c>
      <c r="B8" s="5" t="s">
        <v>249</v>
      </c>
      <c r="C8" s="3" t="s">
        <v>250</v>
      </c>
      <c r="D8" s="3" t="s">
        <v>251</v>
      </c>
      <c r="E8" s="8" t="s">
        <v>252</v>
      </c>
    </row>
    <row r="9" spans="1:7" ht="26" customHeight="1" x14ac:dyDescent="0.35">
      <c r="A9" s="2" t="s">
        <v>253</v>
      </c>
      <c r="B9" s="5" t="s">
        <v>254</v>
      </c>
      <c r="C9" s="3" t="s">
        <v>255</v>
      </c>
      <c r="D9" s="3" t="s">
        <v>256</v>
      </c>
      <c r="E9" s="8" t="s">
        <v>257</v>
      </c>
    </row>
    <row r="10" spans="1:7" ht="26" customHeight="1" x14ac:dyDescent="0.35">
      <c r="A10" s="2" t="s">
        <v>258</v>
      </c>
      <c r="B10" s="5" t="s">
        <v>259</v>
      </c>
      <c r="C10" s="3" t="s">
        <v>260</v>
      </c>
      <c r="D10" s="3" t="s">
        <v>261</v>
      </c>
      <c r="E10" s="8" t="s">
        <v>262</v>
      </c>
    </row>
    <row r="11" spans="1:7" ht="26" customHeight="1" x14ac:dyDescent="0.35">
      <c r="A11" s="2" t="s">
        <v>263</v>
      </c>
      <c r="B11" s="5" t="s">
        <v>264</v>
      </c>
      <c r="C11" s="3" t="s">
        <v>265</v>
      </c>
      <c r="D11" s="3" t="s">
        <v>266</v>
      </c>
      <c r="E11" s="8" t="s">
        <v>267</v>
      </c>
    </row>
    <row r="14" spans="1:7" ht="24" customHeight="1" x14ac:dyDescent="0.45">
      <c r="A14" s="40" t="s">
        <v>268</v>
      </c>
      <c r="B14" s="37"/>
      <c r="C14" s="37"/>
      <c r="D14" s="37"/>
      <c r="E14" s="37"/>
      <c r="F14" s="37"/>
      <c r="G14" s="37"/>
    </row>
    <row r="15" spans="1:7" ht="26" customHeight="1" x14ac:dyDescent="0.35">
      <c r="A15" s="1" t="s">
        <v>269</v>
      </c>
      <c r="B15" s="1" t="s">
        <v>270</v>
      </c>
      <c r="C15" s="1" t="s">
        <v>271</v>
      </c>
      <c r="D15" s="1" t="s">
        <v>272</v>
      </c>
      <c r="E15" s="1" t="s">
        <v>273</v>
      </c>
      <c r="F15" s="1" t="s">
        <v>274</v>
      </c>
      <c r="G15" s="1" t="s">
        <v>275</v>
      </c>
    </row>
    <row r="16" spans="1:7" ht="22" customHeight="1" x14ac:dyDescent="0.35">
      <c r="A16" s="3" t="s">
        <v>276</v>
      </c>
      <c r="B16" s="6">
        <v>6</v>
      </c>
      <c r="C16" s="6">
        <v>60</v>
      </c>
      <c r="D16" s="21" t="s">
        <v>277</v>
      </c>
      <c r="E16" s="6" t="s">
        <v>278</v>
      </c>
      <c r="F16" s="6" t="s">
        <v>279</v>
      </c>
      <c r="G16" s="8" t="s">
        <v>280</v>
      </c>
    </row>
    <row r="17" spans="1:7" ht="22" customHeight="1" x14ac:dyDescent="0.35">
      <c r="A17" s="3" t="s">
        <v>281</v>
      </c>
      <c r="B17" s="6">
        <v>6</v>
      </c>
      <c r="C17" s="6">
        <v>60</v>
      </c>
      <c r="D17" s="21" t="s">
        <v>277</v>
      </c>
      <c r="E17" s="6" t="s">
        <v>282</v>
      </c>
      <c r="F17" s="6" t="s">
        <v>283</v>
      </c>
      <c r="G17" s="8" t="s">
        <v>280</v>
      </c>
    </row>
    <row r="18" spans="1:7" ht="22" customHeight="1" x14ac:dyDescent="0.35">
      <c r="A18" s="3" t="s">
        <v>284</v>
      </c>
      <c r="B18" s="6">
        <v>6</v>
      </c>
      <c r="C18" s="6">
        <v>60</v>
      </c>
      <c r="D18" s="21" t="s">
        <v>277</v>
      </c>
      <c r="E18" s="6" t="s">
        <v>285</v>
      </c>
      <c r="F18" s="6" t="s">
        <v>286</v>
      </c>
      <c r="G18" s="8" t="s">
        <v>280</v>
      </c>
    </row>
    <row r="19" spans="1:7" ht="22" customHeight="1" x14ac:dyDescent="0.35">
      <c r="A19" s="3" t="s">
        <v>287</v>
      </c>
      <c r="B19" s="6">
        <v>6</v>
      </c>
      <c r="C19" s="6">
        <v>60</v>
      </c>
      <c r="D19" s="21" t="s">
        <v>277</v>
      </c>
      <c r="E19" s="6" t="s">
        <v>288</v>
      </c>
      <c r="F19" s="6" t="s">
        <v>289</v>
      </c>
      <c r="G19" s="8" t="s">
        <v>280</v>
      </c>
    </row>
    <row r="20" spans="1:7" ht="22" customHeight="1" x14ac:dyDescent="0.35">
      <c r="A20" s="3" t="s">
        <v>290</v>
      </c>
      <c r="B20" s="6">
        <v>6</v>
      </c>
      <c r="C20" s="6">
        <v>60</v>
      </c>
      <c r="D20" s="21" t="s">
        <v>277</v>
      </c>
      <c r="E20" s="6" t="s">
        <v>291</v>
      </c>
      <c r="F20" s="6" t="s">
        <v>292</v>
      </c>
      <c r="G20" s="8" t="s">
        <v>280</v>
      </c>
    </row>
    <row r="21" spans="1:7" ht="22" customHeight="1" x14ac:dyDescent="0.35">
      <c r="A21" s="3" t="s">
        <v>293</v>
      </c>
      <c r="B21" s="6">
        <v>6</v>
      </c>
      <c r="C21" s="6">
        <v>60</v>
      </c>
      <c r="D21" s="21" t="s">
        <v>277</v>
      </c>
      <c r="E21" s="6" t="s">
        <v>278</v>
      </c>
      <c r="F21" s="6" t="s">
        <v>279</v>
      </c>
      <c r="G21" s="8" t="s">
        <v>280</v>
      </c>
    </row>
    <row r="22" spans="1:7" ht="22" customHeight="1" x14ac:dyDescent="0.35">
      <c r="A22" s="3" t="s">
        <v>294</v>
      </c>
      <c r="B22" s="6">
        <v>6</v>
      </c>
      <c r="C22" s="6">
        <v>60</v>
      </c>
      <c r="D22" s="21" t="s">
        <v>277</v>
      </c>
      <c r="E22" s="6" t="s">
        <v>285</v>
      </c>
      <c r="F22" s="6" t="s">
        <v>286</v>
      </c>
      <c r="G22" s="8" t="s">
        <v>280</v>
      </c>
    </row>
    <row r="23" spans="1:7" ht="22" customHeight="1" x14ac:dyDescent="0.35">
      <c r="A23" s="3" t="s">
        <v>295</v>
      </c>
      <c r="B23" s="6">
        <v>6</v>
      </c>
      <c r="C23" s="6">
        <v>60</v>
      </c>
      <c r="D23" s="21" t="s">
        <v>277</v>
      </c>
      <c r="E23" s="6" t="s">
        <v>278</v>
      </c>
      <c r="F23" s="6" t="s">
        <v>279</v>
      </c>
      <c r="G23" s="8" t="s">
        <v>280</v>
      </c>
    </row>
    <row r="24" spans="1:7" ht="22" customHeight="1" x14ac:dyDescent="0.35">
      <c r="A24" s="3" t="s">
        <v>296</v>
      </c>
      <c r="B24" s="6">
        <v>6</v>
      </c>
      <c r="C24" s="6">
        <v>60</v>
      </c>
      <c r="D24" s="21" t="s">
        <v>277</v>
      </c>
      <c r="E24" s="6" t="s">
        <v>291</v>
      </c>
      <c r="F24" s="6" t="s">
        <v>292</v>
      </c>
      <c r="G24" s="8" t="s">
        <v>280</v>
      </c>
    </row>
    <row r="25" spans="1:7" ht="22" customHeight="1" x14ac:dyDescent="0.35">
      <c r="A25" s="3" t="s">
        <v>297</v>
      </c>
      <c r="B25" s="6">
        <v>6</v>
      </c>
      <c r="C25" s="6">
        <v>60</v>
      </c>
      <c r="D25" s="21" t="s">
        <v>277</v>
      </c>
      <c r="E25" s="6" t="s">
        <v>278</v>
      </c>
      <c r="F25" s="6" t="s">
        <v>279</v>
      </c>
      <c r="G25" s="8" t="s">
        <v>280</v>
      </c>
    </row>
    <row r="26" spans="1:7" ht="24" customHeight="1" x14ac:dyDescent="0.35">
      <c r="A26" s="4" t="s">
        <v>298</v>
      </c>
      <c r="B26" s="25">
        <v>60</v>
      </c>
      <c r="C26" s="25">
        <v>600</v>
      </c>
      <c r="D26" s="13" t="s">
        <v>277</v>
      </c>
      <c r="E26" s="25" t="s">
        <v>299</v>
      </c>
      <c r="F26" s="25" t="s">
        <v>300</v>
      </c>
      <c r="G26" s="8" t="s">
        <v>280</v>
      </c>
    </row>
    <row r="29" spans="1:7" ht="24" customHeight="1" x14ac:dyDescent="0.45">
      <c r="A29" s="40" t="s">
        <v>301</v>
      </c>
      <c r="B29" s="37"/>
      <c r="C29" s="37"/>
      <c r="D29" s="37"/>
      <c r="E29" s="37"/>
      <c r="F29" s="37"/>
      <c r="G29" s="37"/>
    </row>
    <row r="30" spans="1:7" ht="26" customHeight="1" x14ac:dyDescent="0.35">
      <c r="A30" s="1" t="s">
        <v>302</v>
      </c>
      <c r="B30" s="1" t="s">
        <v>303</v>
      </c>
      <c r="C30" s="1" t="s">
        <v>304</v>
      </c>
      <c r="D30" s="1" t="s">
        <v>305</v>
      </c>
      <c r="E30" s="1" t="s">
        <v>306</v>
      </c>
      <c r="F30" s="1" t="s">
        <v>307</v>
      </c>
      <c r="G30" s="1" t="s">
        <v>308</v>
      </c>
    </row>
    <row r="31" spans="1:7" ht="22" customHeight="1" x14ac:dyDescent="0.35">
      <c r="A31" s="2" t="s">
        <v>309</v>
      </c>
      <c r="B31" s="25" t="s">
        <v>310</v>
      </c>
      <c r="C31" s="6" t="s">
        <v>310</v>
      </c>
      <c r="D31" s="6" t="s">
        <v>310</v>
      </c>
      <c r="E31" s="3" t="s">
        <v>311</v>
      </c>
      <c r="F31" s="8" t="s">
        <v>312</v>
      </c>
      <c r="G31" s="3" t="s">
        <v>313</v>
      </c>
    </row>
    <row r="32" spans="1:7" ht="22" customHeight="1" x14ac:dyDescent="0.35">
      <c r="A32" s="2" t="s">
        <v>314</v>
      </c>
      <c r="B32" s="25" t="s">
        <v>315</v>
      </c>
      <c r="C32" s="6" t="s">
        <v>316</v>
      </c>
      <c r="D32" s="6" t="s">
        <v>317</v>
      </c>
      <c r="E32" s="3" t="s">
        <v>318</v>
      </c>
      <c r="F32" s="8" t="s">
        <v>312</v>
      </c>
      <c r="G32" s="3" t="s">
        <v>319</v>
      </c>
    </row>
    <row r="33" spans="1:7" ht="22" customHeight="1" x14ac:dyDescent="0.35">
      <c r="A33" s="2" t="s">
        <v>320</v>
      </c>
      <c r="B33" s="25" t="s">
        <v>321</v>
      </c>
      <c r="C33" s="6" t="s">
        <v>322</v>
      </c>
      <c r="D33" s="6" t="s">
        <v>323</v>
      </c>
      <c r="E33" s="3" t="s">
        <v>324</v>
      </c>
      <c r="F33" s="8" t="s">
        <v>312</v>
      </c>
      <c r="G33" s="3" t="s">
        <v>325</v>
      </c>
    </row>
    <row r="34" spans="1:7" ht="22" customHeight="1" x14ac:dyDescent="0.35">
      <c r="A34" s="2" t="s">
        <v>326</v>
      </c>
      <c r="B34" s="25" t="s">
        <v>327</v>
      </c>
      <c r="C34" s="6" t="s">
        <v>328</v>
      </c>
      <c r="D34" s="6" t="s">
        <v>329</v>
      </c>
      <c r="E34" s="3" t="s">
        <v>330</v>
      </c>
      <c r="F34" s="8" t="s">
        <v>312</v>
      </c>
      <c r="G34" s="3" t="s">
        <v>331</v>
      </c>
    </row>
    <row r="35" spans="1:7" ht="22" customHeight="1" x14ac:dyDescent="0.35">
      <c r="A35" s="2" t="s">
        <v>332</v>
      </c>
      <c r="B35" s="25" t="s">
        <v>333</v>
      </c>
      <c r="C35" s="6" t="s">
        <v>333</v>
      </c>
      <c r="D35" s="6" t="s">
        <v>310</v>
      </c>
      <c r="E35" s="3" t="s">
        <v>334</v>
      </c>
      <c r="F35" s="8" t="s">
        <v>312</v>
      </c>
      <c r="G35" s="3" t="s">
        <v>335</v>
      </c>
    </row>
    <row r="36" spans="1:7" ht="22" customHeight="1" x14ac:dyDescent="0.35">
      <c r="A36" s="2" t="s">
        <v>336</v>
      </c>
      <c r="B36" s="25" t="s">
        <v>337</v>
      </c>
      <c r="C36" s="6" t="s">
        <v>338</v>
      </c>
      <c r="D36" s="6" t="s">
        <v>339</v>
      </c>
      <c r="E36" s="3" t="s">
        <v>340</v>
      </c>
      <c r="F36" s="8" t="s">
        <v>312</v>
      </c>
      <c r="G36" s="3" t="s">
        <v>341</v>
      </c>
    </row>
  </sheetData>
  <mergeCells count="5">
    <mergeCell ref="A14:G14"/>
    <mergeCell ref="A1:G1"/>
    <mergeCell ref="A4:G4"/>
    <mergeCell ref="A2:G2"/>
    <mergeCell ref="A29:G2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6"/>
  <sheetViews>
    <sheetView workbookViewId="0"/>
  </sheetViews>
  <sheetFormatPr defaultRowHeight="14.5" x14ac:dyDescent="0.35"/>
  <cols>
    <col min="1" max="1" width="45" customWidth="1"/>
    <col min="2" max="2" width="32" customWidth="1"/>
    <col min="3" max="6" width="45" customWidth="1"/>
    <col min="7" max="7" width="14" customWidth="1"/>
  </cols>
  <sheetData>
    <row r="1" spans="1:7" ht="32" customHeight="1" x14ac:dyDescent="0.35">
      <c r="A1" s="39" t="s">
        <v>342</v>
      </c>
      <c r="B1" s="37"/>
      <c r="C1" s="37"/>
      <c r="D1" s="37"/>
      <c r="E1" s="37"/>
      <c r="F1" s="37"/>
      <c r="G1" s="37"/>
    </row>
    <row r="2" spans="1:7" ht="24" customHeight="1" x14ac:dyDescent="0.35">
      <c r="A2" s="36" t="s">
        <v>343</v>
      </c>
      <c r="B2" s="37"/>
      <c r="C2" s="37"/>
      <c r="D2" s="37"/>
      <c r="E2" s="37"/>
      <c r="F2" s="37"/>
      <c r="G2" s="37"/>
    </row>
    <row r="4" spans="1:7" ht="24" customHeight="1" x14ac:dyDescent="0.45">
      <c r="A4" s="40" t="s">
        <v>344</v>
      </c>
      <c r="B4" s="37"/>
      <c r="C4" s="37"/>
      <c r="D4" s="37"/>
      <c r="E4" s="37"/>
      <c r="F4" s="37"/>
      <c r="G4" s="37"/>
    </row>
    <row r="5" spans="1:7" ht="26" customHeight="1" x14ac:dyDescent="0.35">
      <c r="A5" s="1" t="s">
        <v>30</v>
      </c>
      <c r="B5" s="1" t="s">
        <v>345</v>
      </c>
      <c r="C5" s="1" t="s">
        <v>346</v>
      </c>
      <c r="D5" s="1" t="s">
        <v>347</v>
      </c>
      <c r="E5" s="1" t="s">
        <v>348</v>
      </c>
      <c r="F5" s="1" t="s">
        <v>349</v>
      </c>
    </row>
    <row r="6" spans="1:7" ht="22" customHeight="1" x14ac:dyDescent="0.35">
      <c r="A6" s="2" t="s">
        <v>350</v>
      </c>
      <c r="B6" s="7" t="s">
        <v>351</v>
      </c>
      <c r="C6" s="6" t="s">
        <v>352</v>
      </c>
      <c r="D6" s="8" t="s">
        <v>353</v>
      </c>
      <c r="E6" s="3" t="s">
        <v>354</v>
      </c>
      <c r="F6" s="3" t="s">
        <v>355</v>
      </c>
    </row>
    <row r="7" spans="1:7" ht="22" customHeight="1" x14ac:dyDescent="0.35">
      <c r="A7" s="2" t="s">
        <v>356</v>
      </c>
      <c r="B7" s="7" t="s">
        <v>357</v>
      </c>
      <c r="C7" s="6" t="s">
        <v>358</v>
      </c>
      <c r="D7" s="8" t="s">
        <v>359</v>
      </c>
      <c r="E7" s="3" t="s">
        <v>360</v>
      </c>
      <c r="F7" s="3" t="s">
        <v>361</v>
      </c>
    </row>
    <row r="8" spans="1:7" ht="22" customHeight="1" x14ac:dyDescent="0.35">
      <c r="A8" s="2" t="s">
        <v>362</v>
      </c>
      <c r="B8" s="7" t="s">
        <v>363</v>
      </c>
      <c r="C8" s="6" t="s">
        <v>364</v>
      </c>
      <c r="D8" s="8" t="s">
        <v>365</v>
      </c>
      <c r="E8" s="3" t="s">
        <v>360</v>
      </c>
      <c r="F8" s="3" t="s">
        <v>366</v>
      </c>
    </row>
    <row r="9" spans="1:7" ht="22" customHeight="1" x14ac:dyDescent="0.35">
      <c r="A9" s="2" t="s">
        <v>367</v>
      </c>
      <c r="B9" s="7" t="s">
        <v>368</v>
      </c>
      <c r="C9" s="6" t="s">
        <v>369</v>
      </c>
      <c r="D9" s="8" t="s">
        <v>370</v>
      </c>
      <c r="E9" s="3" t="s">
        <v>360</v>
      </c>
      <c r="F9" s="3" t="s">
        <v>371</v>
      </c>
    </row>
    <row r="10" spans="1:7" ht="22" customHeight="1" x14ac:dyDescent="0.35">
      <c r="A10" s="2" t="s">
        <v>372</v>
      </c>
      <c r="B10" s="7" t="s">
        <v>373</v>
      </c>
      <c r="C10" s="6" t="s">
        <v>374</v>
      </c>
      <c r="D10" s="8" t="s">
        <v>375</v>
      </c>
      <c r="E10" s="3" t="s">
        <v>360</v>
      </c>
      <c r="F10" s="3" t="s">
        <v>376</v>
      </c>
    </row>
    <row r="11" spans="1:7" ht="22" customHeight="1" x14ac:dyDescent="0.35">
      <c r="A11" s="2" t="s">
        <v>377</v>
      </c>
      <c r="B11" s="7" t="s">
        <v>378</v>
      </c>
      <c r="C11" s="6" t="s">
        <v>379</v>
      </c>
      <c r="D11" s="8" t="s">
        <v>380</v>
      </c>
      <c r="E11" s="3" t="s">
        <v>381</v>
      </c>
      <c r="F11" s="3" t="s">
        <v>382</v>
      </c>
    </row>
    <row r="12" spans="1:7" ht="22" customHeight="1" x14ac:dyDescent="0.35">
      <c r="A12" s="2" t="s">
        <v>383</v>
      </c>
      <c r="B12" s="7" t="s">
        <v>384</v>
      </c>
      <c r="C12" s="6" t="s">
        <v>385</v>
      </c>
      <c r="D12" s="8" t="s">
        <v>386</v>
      </c>
      <c r="E12" s="3" t="s">
        <v>387</v>
      </c>
      <c r="F12" s="3" t="s">
        <v>388</v>
      </c>
    </row>
    <row r="13" spans="1:7" ht="22" customHeight="1" x14ac:dyDescent="0.35">
      <c r="A13" s="2" t="s">
        <v>389</v>
      </c>
      <c r="B13" s="7" t="s">
        <v>390</v>
      </c>
      <c r="C13" s="6" t="s">
        <v>391</v>
      </c>
      <c r="D13" s="8" t="s">
        <v>392</v>
      </c>
      <c r="E13" s="3" t="s">
        <v>393</v>
      </c>
      <c r="F13" s="3" t="s">
        <v>394</v>
      </c>
    </row>
    <row r="16" spans="1:7" ht="24" customHeight="1" x14ac:dyDescent="0.45">
      <c r="A16" s="40" t="s">
        <v>395</v>
      </c>
      <c r="B16" s="37"/>
      <c r="C16" s="37"/>
      <c r="D16" s="37"/>
      <c r="E16" s="37"/>
      <c r="F16" s="37"/>
      <c r="G16" s="37"/>
    </row>
    <row r="17" spans="1:7" ht="26" customHeight="1" x14ac:dyDescent="0.35">
      <c r="A17" s="1" t="s">
        <v>396</v>
      </c>
      <c r="B17" s="1" t="s">
        <v>397</v>
      </c>
      <c r="C17" s="1" t="s">
        <v>398</v>
      </c>
      <c r="D17" s="1" t="s">
        <v>399</v>
      </c>
      <c r="E17" s="1" t="s">
        <v>400</v>
      </c>
      <c r="F17" s="1" t="s">
        <v>401</v>
      </c>
    </row>
    <row r="18" spans="1:7" ht="26" customHeight="1" x14ac:dyDescent="0.35">
      <c r="A18" s="2" t="s">
        <v>402</v>
      </c>
      <c r="B18" s="26">
        <v>42</v>
      </c>
      <c r="C18" s="8" t="s">
        <v>403</v>
      </c>
      <c r="D18" s="3" t="s">
        <v>404</v>
      </c>
      <c r="E18" s="3" t="s">
        <v>405</v>
      </c>
      <c r="F18" s="3" t="s">
        <v>406</v>
      </c>
    </row>
    <row r="19" spans="1:7" ht="26" customHeight="1" x14ac:dyDescent="0.35">
      <c r="A19" s="2" t="s">
        <v>407</v>
      </c>
      <c r="B19" s="26">
        <v>31</v>
      </c>
      <c r="C19" s="23" t="s">
        <v>408</v>
      </c>
      <c r="D19" s="3" t="s">
        <v>409</v>
      </c>
      <c r="E19" s="3" t="s">
        <v>410</v>
      </c>
      <c r="F19" s="3" t="s">
        <v>411</v>
      </c>
    </row>
    <row r="20" spans="1:7" ht="26" customHeight="1" x14ac:dyDescent="0.35">
      <c r="A20" s="2" t="s">
        <v>412</v>
      </c>
      <c r="B20" s="26">
        <v>27</v>
      </c>
      <c r="C20" s="27" t="s">
        <v>413</v>
      </c>
      <c r="D20" s="3" t="s">
        <v>414</v>
      </c>
      <c r="E20" s="3" t="s">
        <v>415</v>
      </c>
      <c r="F20" s="3" t="s">
        <v>416</v>
      </c>
    </row>
    <row r="23" spans="1:7" ht="24" customHeight="1" x14ac:dyDescent="0.45">
      <c r="A23" s="40" t="s">
        <v>417</v>
      </c>
      <c r="B23" s="37"/>
      <c r="C23" s="37"/>
      <c r="D23" s="37"/>
      <c r="E23" s="37"/>
      <c r="F23" s="37"/>
      <c r="G23" s="37"/>
    </row>
    <row r="24" spans="1:7" ht="26" customHeight="1" x14ac:dyDescent="0.35">
      <c r="A24" s="1" t="s">
        <v>418</v>
      </c>
      <c r="B24" s="1" t="s">
        <v>419</v>
      </c>
      <c r="C24" s="1" t="s">
        <v>420</v>
      </c>
      <c r="D24" s="1" t="s">
        <v>421</v>
      </c>
      <c r="E24" s="1" t="s">
        <v>422</v>
      </c>
      <c r="F24" s="1" t="s">
        <v>423</v>
      </c>
    </row>
    <row r="25" spans="1:7" ht="24" customHeight="1" x14ac:dyDescent="0.35">
      <c r="A25" s="2" t="s">
        <v>424</v>
      </c>
      <c r="B25" s="6" t="s">
        <v>425</v>
      </c>
      <c r="C25" s="3" t="s">
        <v>426</v>
      </c>
      <c r="D25" s="8" t="s">
        <v>427</v>
      </c>
      <c r="E25" s="8" t="s">
        <v>428</v>
      </c>
      <c r="F25" s="3" t="s">
        <v>429</v>
      </c>
    </row>
    <row r="26" spans="1:7" ht="24" customHeight="1" x14ac:dyDescent="0.35">
      <c r="A26" s="2" t="s">
        <v>430</v>
      </c>
      <c r="B26" s="6" t="s">
        <v>431</v>
      </c>
      <c r="C26" s="3" t="s">
        <v>432</v>
      </c>
      <c r="D26" s="8" t="s">
        <v>433</v>
      </c>
      <c r="E26" s="8" t="s">
        <v>434</v>
      </c>
      <c r="F26" s="3" t="s">
        <v>435</v>
      </c>
    </row>
    <row r="27" spans="1:7" ht="24" customHeight="1" x14ac:dyDescent="0.35">
      <c r="A27" s="2" t="s">
        <v>436</v>
      </c>
      <c r="B27" s="6" t="s">
        <v>437</v>
      </c>
      <c r="C27" s="3" t="s">
        <v>438</v>
      </c>
      <c r="D27" s="8" t="s">
        <v>58</v>
      </c>
      <c r="E27" s="8" t="s">
        <v>439</v>
      </c>
      <c r="F27" s="3" t="s">
        <v>440</v>
      </c>
    </row>
    <row r="28" spans="1:7" ht="24" customHeight="1" x14ac:dyDescent="0.35">
      <c r="A28" s="28" t="s">
        <v>441</v>
      </c>
      <c r="B28" s="29" t="s">
        <v>442</v>
      </c>
      <c r="C28" s="30" t="s">
        <v>443</v>
      </c>
      <c r="D28" s="27" t="s">
        <v>444</v>
      </c>
      <c r="E28" s="27" t="s">
        <v>445</v>
      </c>
      <c r="F28" s="30" t="s">
        <v>446</v>
      </c>
    </row>
    <row r="31" spans="1:7" ht="24" customHeight="1" x14ac:dyDescent="0.45">
      <c r="A31" s="40" t="s">
        <v>447</v>
      </c>
      <c r="B31" s="37"/>
      <c r="C31" s="37"/>
      <c r="D31" s="37"/>
      <c r="E31" s="37"/>
      <c r="F31" s="37"/>
      <c r="G31" s="37"/>
    </row>
    <row r="32" spans="1:7" ht="26" customHeight="1" x14ac:dyDescent="0.35">
      <c r="A32" s="1" t="s">
        <v>448</v>
      </c>
      <c r="B32" s="1" t="s">
        <v>449</v>
      </c>
      <c r="C32" s="1" t="s">
        <v>450</v>
      </c>
      <c r="D32" s="1" t="s">
        <v>451</v>
      </c>
      <c r="E32" s="1" t="s">
        <v>452</v>
      </c>
      <c r="F32" s="1" t="s">
        <v>53</v>
      </c>
    </row>
    <row r="33" spans="1:7" ht="24" customHeight="1" x14ac:dyDescent="0.35">
      <c r="A33" s="2" t="s">
        <v>453</v>
      </c>
      <c r="B33" s="31">
        <v>1</v>
      </c>
      <c r="C33" s="3" t="s">
        <v>454</v>
      </c>
      <c r="D33" s="32">
        <v>0.82399999999999995</v>
      </c>
      <c r="E33" s="33">
        <v>0.11799999999999999</v>
      </c>
      <c r="F33" s="11">
        <v>0</v>
      </c>
    </row>
    <row r="34" spans="1:7" ht="24" customHeight="1" x14ac:dyDescent="0.35">
      <c r="A34" s="2" t="s">
        <v>455</v>
      </c>
      <c r="B34" s="31">
        <v>0.94699999999999995</v>
      </c>
      <c r="C34" s="3" t="s">
        <v>456</v>
      </c>
      <c r="D34" s="32">
        <v>0.76200000000000001</v>
      </c>
      <c r="E34" s="33">
        <v>0.14299999999999999</v>
      </c>
      <c r="F34" s="11">
        <v>0</v>
      </c>
    </row>
    <row r="35" spans="1:7" ht="24" customHeight="1" x14ac:dyDescent="0.35">
      <c r="A35" s="2" t="s">
        <v>457</v>
      </c>
      <c r="B35" s="31">
        <v>0.91800000000000004</v>
      </c>
      <c r="C35" s="3" t="s">
        <v>458</v>
      </c>
      <c r="D35" s="32">
        <v>0.68</v>
      </c>
      <c r="E35" s="33">
        <v>0.16</v>
      </c>
      <c r="F35" s="11">
        <v>0</v>
      </c>
    </row>
    <row r="36" spans="1:7" ht="24" customHeight="1" x14ac:dyDescent="0.35">
      <c r="A36" s="2" t="s">
        <v>459</v>
      </c>
      <c r="B36" s="31">
        <v>0.88500000000000001</v>
      </c>
      <c r="C36" s="3" t="s">
        <v>198</v>
      </c>
      <c r="D36" s="32">
        <v>0.64300000000000002</v>
      </c>
      <c r="E36" s="33">
        <v>0.17899999999999999</v>
      </c>
      <c r="F36" s="11">
        <v>0</v>
      </c>
    </row>
    <row r="37" spans="1:7" ht="24" customHeight="1" x14ac:dyDescent="0.35">
      <c r="A37" s="4" t="s">
        <v>460</v>
      </c>
      <c r="B37" s="34">
        <v>0.93799999999999994</v>
      </c>
      <c r="C37" s="5" t="s">
        <v>461</v>
      </c>
      <c r="D37" s="34">
        <v>0.74199999999999999</v>
      </c>
      <c r="E37" s="35">
        <v>0.15</v>
      </c>
      <c r="F37" s="15">
        <v>0</v>
      </c>
    </row>
    <row r="40" spans="1:7" ht="24" customHeight="1" x14ac:dyDescent="0.45">
      <c r="A40" s="40" t="s">
        <v>462</v>
      </c>
      <c r="B40" s="37"/>
      <c r="C40" s="37"/>
      <c r="D40" s="37"/>
      <c r="E40" s="37"/>
      <c r="F40" s="37"/>
      <c r="G40" s="37"/>
    </row>
    <row r="41" spans="1:7" ht="26" customHeight="1" x14ac:dyDescent="0.35">
      <c r="A41" s="1" t="s">
        <v>463</v>
      </c>
      <c r="B41" s="1" t="s">
        <v>464</v>
      </c>
      <c r="C41" s="1" t="s">
        <v>465</v>
      </c>
      <c r="D41" s="1" t="s">
        <v>62</v>
      </c>
      <c r="E41" s="1" t="s">
        <v>466</v>
      </c>
      <c r="F41" s="1" t="s">
        <v>467</v>
      </c>
    </row>
    <row r="42" spans="1:7" ht="24" customHeight="1" x14ac:dyDescent="0.35">
      <c r="A42" s="2" t="s">
        <v>468</v>
      </c>
      <c r="B42" s="3" t="s">
        <v>469</v>
      </c>
      <c r="C42" s="3" t="s">
        <v>470</v>
      </c>
      <c r="D42" s="25" t="s">
        <v>471</v>
      </c>
      <c r="E42" s="8" t="s">
        <v>472</v>
      </c>
      <c r="F42" s="3" t="s">
        <v>473</v>
      </c>
    </row>
    <row r="43" spans="1:7" ht="24" customHeight="1" x14ac:dyDescent="0.35">
      <c r="A43" s="2" t="s">
        <v>474</v>
      </c>
      <c r="B43" s="3" t="s">
        <v>475</v>
      </c>
      <c r="C43" s="3" t="s">
        <v>476</v>
      </c>
      <c r="D43" s="25" t="s">
        <v>477</v>
      </c>
      <c r="E43" s="8" t="s">
        <v>472</v>
      </c>
      <c r="F43" s="3" t="s">
        <v>478</v>
      </c>
    </row>
    <row r="44" spans="1:7" ht="24" customHeight="1" x14ac:dyDescent="0.35">
      <c r="A44" s="2" t="s">
        <v>479</v>
      </c>
      <c r="B44" s="3" t="s">
        <v>480</v>
      </c>
      <c r="C44" s="3" t="s">
        <v>481</v>
      </c>
      <c r="D44" s="25" t="s">
        <v>482</v>
      </c>
      <c r="E44" s="8" t="s">
        <v>472</v>
      </c>
      <c r="F44" s="3" t="s">
        <v>483</v>
      </c>
    </row>
    <row r="45" spans="1:7" ht="24" customHeight="1" x14ac:dyDescent="0.35">
      <c r="A45" s="2" t="s">
        <v>484</v>
      </c>
      <c r="B45" s="3" t="s">
        <v>485</v>
      </c>
      <c r="C45" s="3" t="s">
        <v>486</v>
      </c>
      <c r="D45" s="25" t="s">
        <v>487</v>
      </c>
      <c r="E45" s="8" t="s">
        <v>488</v>
      </c>
      <c r="F45" s="3" t="s">
        <v>489</v>
      </c>
    </row>
    <row r="46" spans="1:7" ht="24" customHeight="1" x14ac:dyDescent="0.35">
      <c r="A46" s="2" t="s">
        <v>490</v>
      </c>
      <c r="B46" s="3" t="s">
        <v>491</v>
      </c>
      <c r="C46" s="3" t="s">
        <v>492</v>
      </c>
      <c r="D46" s="25" t="s">
        <v>493</v>
      </c>
      <c r="E46" s="8" t="s">
        <v>472</v>
      </c>
      <c r="F46" s="3" t="s">
        <v>494</v>
      </c>
    </row>
  </sheetData>
  <mergeCells count="7">
    <mergeCell ref="A1:G1"/>
    <mergeCell ref="A40:G40"/>
    <mergeCell ref="A31:G31"/>
    <mergeCell ref="A4:G4"/>
    <mergeCell ref="A16:G16"/>
    <mergeCell ref="A2:G2"/>
    <mergeCell ref="A23:G23"/>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Research Paper Overview</vt:lpstr>
      <vt:lpstr>Quantitative Benchmark</vt:lpstr>
      <vt:lpstr>TreeSHAP Telemetry Ranking</vt:lpstr>
      <vt:lpstr>Qualitative Warning Matrix</vt:lpstr>
      <vt:lpstr>Safety, Latency &amp; Math</vt:lpstr>
      <vt:lpstr>Operational Analytics &amp; 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Bilbao, John Michael L.</cp:lastModifiedBy>
  <dcterms:created xsi:type="dcterms:W3CDTF">2026-10-06T08:07:57Z</dcterms:created>
  <dcterms:modified xsi:type="dcterms:W3CDTF">2026-10-06T09:27:28Z</dcterms:modified>
</cp:coreProperties>
</file>